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f2382e4f9240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751e9816139f4b3a"/>
    <x:sheet xmlns:r="http://schemas.openxmlformats.org/officeDocument/2006/relationships" name="Papers" sheetId="2" r:id="R2ae523d77b48488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95959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C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CC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57fb4873164868" /><Relationship Type="http://schemas.openxmlformats.org/officeDocument/2006/relationships/theme" Target="/xl/theme/theme1.xml" Id="R2a60d5431a194518" /><Relationship Type="http://schemas.openxmlformats.org/officeDocument/2006/relationships/sharedStrings" Target="/xl/sharedStrings.xml" Id="R33400be1748e4f23" /><Relationship Type="http://schemas.openxmlformats.org/officeDocument/2006/relationships/worksheet" Target="/xl/worksheets/sheet1.xml" Id="R751e9816139f4b3a" /><Relationship Type="http://schemas.openxmlformats.org/officeDocument/2006/relationships/worksheet" Target="/xl/worksheets/sheet2.xml" Id="R2ae523d77b484887" /></Relationships>
</file>

<file path=xl/tables/table1.xml><?xml version="1.0" encoding="utf-8"?>
<x:table xmlns:x="http://schemas.openxmlformats.org/spreadsheetml/2006/main" id="1" name="BenchmarkCorpusTable" displayName="BenchmarkCorpusTable" ref="A1:G23" headerRowCount="1" totalsRowCount="0" totalsRowShown="0">
  <x:autoFilter ref="A1:G23"/>
  <x:tableColumns count="7">
    <x:tableColumn id="1" name="Record no."/>
    <x:tableColumn id="2" name="Article title"/>
    <x:tableColumn id="3" name="Search query"/>
    <x:tableColumn id="4" name="PDF file name"/>
    <x:tableColumn id="5" name="Local source path (relative)"/>
    <x:tableColumn id="6" name="Mechanism entries"/>
    <x:tableColumn id="7" name="Traceability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8deaa57b3943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0" hidden="0" customWidth="1"/>
    <x:col min="3" max="3" width="62" hidden="0" customWidth="1"/>
    <x:col min="4" max="4" width="4" hidden="0" customWidth="1"/>
    <x:col min="5" max="5" width="4" hidden="0" customWidth="1"/>
    <x:col min="6" max="6" width="4" hidden="0" customWidth="1"/>
    <x:col min="7" max="7" width="4" hidden="0" customWidth="1"/>
    <x:col min="8" max="8" width="4" hidden="0" customWidth="1"/>
  </x:cols>
  <x:sheetData>
    <x:row r="1" ht="30" customHeight="1">
      <x:c r="A1" s="4" t="str">
        <x:v>Benchmark literature corpus - traceable local records</x:v>
      </x:c>
      <x:c r="B1" s="4" t="str">
        <x:v>Benchmark literature corpus - traceable local records</x:v>
      </x:c>
      <x:c r="C1" s="4" t="str">
        <x:v>Benchmark literature corpus - traceable local records</x:v>
      </x:c>
      <x:c r="D1" s="4" t="str">
        <x:v>Benchmark literature corpus - traceable local records</x:v>
      </x:c>
      <x:c r="E1" s="4" t="str">
        <x:v>Benchmark literature corpus - traceable local records</x:v>
      </x:c>
      <x:c r="F1" s="4" t="str">
        <x:v>Benchmark literature corpus - traceable local records</x:v>
      </x:c>
      <x:c r="G1" s="4" t="str">
        <x:v>Benchmark literature corpus - traceable local records</x:v>
      </x:c>
      <x:c r="H1" s="4" t="str">
        <x:v>Benchmark literature corpus - traceable local records</x:v>
      </x:c>
    </x:row>
    <x:row r="2" ht="36" customHeight="1">
      <x:c r="A2" s="8" t="str">
        <x:v>Annotated total: 28 papers. Local corpus.json contains 22 papers; the separate 28-item file contains mechanism entries, not 28 publications.</x:v>
      </x:c>
      <x:c r="B2" s="8" t="str">
        <x:v>Annotated total: 28 papers. Local corpus.json contains 22 papers; the separate 28-item file contains mechanism entries, not 28 publications.</x:v>
      </x:c>
      <x:c r="C2" s="8" t="str">
        <x:v>Annotated total: 28 papers. Local corpus.json contains 22 papers; the separate 28-item file contains mechanism entries, not 28 publications.</x:v>
      </x:c>
      <x:c r="D2" s="8" t="str">
        <x:v>Annotated total: 28 papers. Local corpus.json contains 22 papers; the separate 28-item file contains mechanism entries, not 28 publications.</x:v>
      </x:c>
      <x:c r="E2" s="8" t="str">
        <x:v>Annotated total: 28 papers. Local corpus.json contains 22 papers; the separate 28-item file contains mechanism entries, not 28 publications.</x:v>
      </x:c>
      <x:c r="F2" s="8" t="str">
        <x:v>Annotated total: 28 papers. Local corpus.json contains 22 papers; the separate 28-item file contains mechanism entries, not 28 publications.</x:v>
      </x:c>
      <x:c r="G2" s="8" t="str">
        <x:v>Annotated total: 28 papers. Local corpus.json contains 22 papers; the separate 28-item file contains mechanism entries, not 28 publications.</x:v>
      </x:c>
      <x:c r="H2" s="8" t="str">
        <x:v>Annotated total: 28 papers. Local corpus.json contains 22 papers; the separate 28-item file contains mechanism entries, not 28 publications.</x:v>
      </x:c>
    </x:row>
    <x:row r="4">
      <x:c r="A4" s="18" t="str">
        <x:v>Metric</x:v>
      </x:c>
      <x:c r="B4" s="18" t="str">
        <x:v>Value</x:v>
      </x:c>
      <x:c r="C4" s="18" t="str">
        <x:v>Interpretation</x:v>
      </x:c>
      <x:c r="D4" s="18" t="str"/>
      <x:c r="E4" s="18" t="str"/>
      <x:c r="F4" s="18" t="str"/>
      <x:c r="G4" s="18" t="str"/>
      <x:c r="H4" s="18" t="str"/>
    </x:row>
    <x:row r="5" ht="32" customHeight="1">
      <x:c r="A5" s="23" t="str">
        <x:v>Requested/annotated total</x:v>
      </x:c>
      <x:c r="B5" s="24" t="n">
        <x:v>28</x:v>
      </x:c>
      <x:c r="C5" s="24" t="str">
        <x:v>Number stated in the annotated SI.</x:v>
      </x:c>
      <x:c r="D5" s="24" t="str"/>
      <x:c r="E5" s="24" t="str"/>
      <x:c r="F5" s="24" t="str"/>
      <x:c r="G5" s="24" t="str"/>
      <x:c r="H5" s="24" t="str"/>
    </x:row>
    <x:row r="6" ht="32" customHeight="1">
      <x:c r="A6" s="23" t="str">
        <x:v>Locally traceable records</x:v>
      </x:c>
      <x:c r="B6" s="24" t="n">
        <x:v>22</x:v>
      </x:c>
      <x:c r="C6" s="24" t="str">
        <x:v>Records present in the local source export.</x:v>
      </x:c>
      <x:c r="D6" s="24" t="str"/>
      <x:c r="E6" s="24" t="str"/>
      <x:c r="F6" s="24" t="str"/>
      <x:c r="G6" s="24" t="str"/>
      <x:c r="H6" s="24" t="str"/>
    </x:row>
    <x:row r="7" ht="32" customHeight="1">
      <x:c r="A7" s="23" t="str">
        <x:v>Coverage</x:v>
      </x:c>
      <x:c r="B7" s="25" t="n">
        <x:f>IFERROR(B6/B5,0)</x:f>
        <x:v>0.7857142857142857</x:v>
      </x:c>
      <x:c r="C7" s="24" t="str">
        <x:v>Computed as available / requested.</x:v>
      </x:c>
      <x:c r="D7" s="24" t="str"/>
      <x:c r="E7" s="24" t="str"/>
      <x:c r="F7" s="24" t="str"/>
      <x:c r="G7" s="24" t="str"/>
      <x:c r="H7" s="24" t="str"/>
    </x:row>
    <x:row r="8" ht="32" customHeight="1">
      <x:c r="A8" s="23" t="str">
        <x:v>Missing source records</x:v>
      </x:c>
      <x:c r="B8" s="24" t="n">
        <x:f>MAX(B5-B6,0)</x:f>
        <x:v>6</x:v>
      </x:c>
      <x:c r="C8" s="24" t="str">
        <x:v>Computed gap; missing records were not fabricated.</x:v>
      </x:c>
      <x:c r="D8" s="24" t="str"/>
      <x:c r="E8" s="24" t="str"/>
      <x:c r="F8" s="24" t="str"/>
      <x:c r="G8" s="24" t="str"/>
      <x:c r="H8" s="24" t="str"/>
    </x:row>
    <x:row r="9" ht="32" customHeight="1">
      <x:c r="A9" s="23" t="str">
        <x:v>Unique normalized titles</x:v>
      </x:c>
      <x:c r="B9" s="24" t="n">
        <x:v>22</x:v>
      </x:c>
      <x:c r="C9" s="24" t="str">
        <x:v>Title-normalized distinct count.</x:v>
      </x:c>
      <x:c r="D9" s="24" t="str"/>
      <x:c r="E9" s="24" t="str"/>
      <x:c r="F9" s="24" t="str"/>
      <x:c r="G9" s="24" t="str"/>
      <x:c r="H9" s="24" t="str"/>
    </x:row>
    <x:row r="10" ht="32" customHeight="1">
      <x:c r="A10" s="23" t="str">
        <x:v>DOI present</x:v>
      </x:c>
      <x:c r="B10" s="24" t="str">
        <x:v>Not supplied</x:v>
      </x:c>
      <x:c r="C10" s="24" t="str">
        <x:v>Non-empty DOI values in the source.</x:v>
      </x:c>
      <x:c r="D10" s="24" t="str"/>
      <x:c r="E10" s="24" t="str"/>
      <x:c r="F10" s="24" t="str"/>
      <x:c r="G10" s="24" t="str"/>
      <x:c r="H10" s="24" t="str"/>
    </x:row>
    <x:row r="11" ht="32" customHeight="1">
      <x:c r="A11" s="23" t="str">
        <x:v>DOI missing</x:v>
      </x:c>
      <x:c r="B11" s="24" t="str">
        <x:v>Not supplied</x:v>
      </x:c>
      <x:c r="C11" s="24" t="str">
        <x:v>Records without a DOI in the source.</x:v>
      </x:c>
      <x:c r="D11" s="24" t="str"/>
      <x:c r="E11" s="24" t="str"/>
      <x:c r="F11" s="24" t="str"/>
      <x:c r="G11" s="24" t="str"/>
      <x:c r="H11" s="24" t="str"/>
    </x:row>
    <x:row r="12" ht="32" customHeight="1">
      <x:c r="A12" s="23" t="str">
        <x:v>Source file</x:v>
      </x:c>
      <x:c r="B12" s="24" t="str">
        <x:v>ge/_bench/corpus.json</x:v>
      </x:c>
      <x:c r="C12" s="24" t="str">
        <x:v>Read-only local source used to create this workbook.</x:v>
      </x:c>
      <x:c r="D12" s="24" t="str"/>
      <x:c r="E12" s="24" t="str"/>
      <x:c r="F12" s="24" t="str"/>
      <x:c r="G12" s="24" t="str"/>
      <x:c r="H12" s="24" t="str"/>
    </x:row>
    <x:row r="13" ht="32" customHeight="1">
      <x:c r="A13" s="23" t="str">
        <x:v>Source sheet/data</x:v>
      </x:c>
      <x:c r="B13" s="24" t="str">
        <x:v>JSON array ge/_bench/corpus.json</x:v>
      </x:c>
      <x:c r="C13" s="24" t="str">
        <x:v>Original worksheet or JSON collection.</x:v>
      </x:c>
      <x:c r="D13" s="24" t="str"/>
      <x:c r="E13" s="24" t="str"/>
      <x:c r="F13" s="24" t="str"/>
      <x:c r="G13" s="24" t="str"/>
      <x:c r="H13" s="24" t="str"/>
    </x:row>
    <x:row r="14" ht="32" customHeight="1">
      <x:c r="A14" s="22" t="str">
        <x:v>Integrity note</x:v>
      </x:c>
      <x:c r="B14" s="22" t="str">
        <x:v>INCOMPLETE EXPORT</x:v>
      </x:c>
      <x:c r="C14" s="22" t="str">
        <x:v>Six source-paper records are absent locally. This workbook does not infer or invent them.</x:v>
      </x:c>
      <x:c r="D14" s="22" t="str"/>
      <x:c r="E14" s="22" t="str"/>
      <x:c r="F14" s="22" t="str"/>
      <x:c r="G14" s="22" t="str"/>
      <x:c r="H14" s="22" t="str"/>
    </x:row>
    <x:row r="15" ht="32" customHeight="1">
      <x:c r="A15" s="23" t="str">
        <x:v>GitHub note</x:v>
      </x:c>
      <x:c r="B15" s="24" t="str">
        <x:v>Uploaded copy</x:v>
      </x:c>
      <x:c r="C15" s="24" t="str">
        <x:v>This workbook records only data present in the cited local source.</x:v>
      </x:c>
      <x:c r="D15" s="24" t="str"/>
      <x:c r="E15" s="24" t="str"/>
      <x:c r="F15" s="24" t="str"/>
      <x:c r="G15" s="24" t="str"/>
      <x:c r="H15" s="24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5" hidden="0" customWidth="1"/>
    <x:col min="3" max="3" width="32" hidden="0" customWidth="1"/>
    <x:col min="4" max="4" width="36" hidden="0" customWidth="1"/>
    <x:col min="5" max="5" width="55" hidden="0" customWidth="1"/>
    <x:col min="6" max="6" width="16" hidden="0" customWidth="1"/>
    <x:col min="7" max="7" width="30" hidden="0" customWidth="1"/>
  </x:cols>
  <x:sheetData>
    <x:row r="1">
      <x:c r="A1" s="28" t="str">
        <x:v>Record no.</x:v>
      </x:c>
      <x:c r="B1" s="28" t="str">
        <x:v>Article title</x:v>
      </x:c>
      <x:c r="C1" s="28" t="str">
        <x:v>Search query</x:v>
      </x:c>
      <x:c r="D1" s="28" t="str">
        <x:v>PDF file name</x:v>
      </x:c>
      <x:c r="E1" s="28" t="str">
        <x:v>Local source path (relative)</x:v>
      </x:c>
      <x:c r="F1" s="28" t="str">
        <x:v>Mechanism entries</x:v>
      </x:c>
      <x:c r="G1" s="28" t="str">
        <x:v>Traceability status</x:v>
      </x:c>
    </x:row>
    <x:row r="2" ht="42" customHeight="1">
      <x:c r="A2" s="29" t="n">
        <x:v>1</x:v>
      </x:c>
      <x:c r="B2" s="29" t="str">
        <x:v>Cross-Coupling of Aryl-Alkenyl Pivalates with Organozinc Reagents through Nickel-Catalyzed C-O Bond Activation under Mild Reaction Conditions</x:v>
      </x:c>
      <x:c r="C2" s="29" t="str">
        <x:v>organogermanium / organozinc cross-coupling methodology</x:v>
      </x:c>
      <x:c r="D2" s="29" t="str">
        <x:v>Cross-Coupling of Aryl-Alkenyl Pivalates with Organozinc Reagents through Nickel-Catalyzed C-O Bond Activation under Mild Reaction Conditions.pdf</x:v>
      </x:c>
      <x:c r="E2" s="29" t="str">
        <x:v>ge\有机方法学\Cross-Coupling of Aryl-Alkenyl Pivalates with Organozinc Reagents through Nickel-Catalyzed C-O Bond Activation under Mild Reaction Conditions.pdf</x:v>
      </x:c>
      <x:c r="F2" s="29" t="n">
        <x:v>1</x:v>
      </x:c>
      <x:c r="G2" s="29" t="str">
        <x:v>Present in ge/_bench/corpus.json</x:v>
      </x:c>
    </x:row>
    <x:row r="3" ht="42" customHeight="1">
      <x:c r="A3" s="29" t="n">
        <x:v>2</x:v>
      </x:c>
      <x:c r="B3" s="29" t="str">
        <x:v>Mechanistic Dichotomy of Magnesium- and Zinc-Based Germanium Nucleophiles in the C(sp3)-Ge Cross-Coupling with Alkyl Electrophiles</x:v>
      </x:c>
      <x:c r="C3" s="29" t="str">
        <x:v>organogermanium / organozinc cross-coupling methodology</x:v>
      </x:c>
      <x:c r="D3" s="29" t="str">
        <x:v>Mechanistic Dichotomy of Magnesium- and Zinc-Based Germanium Nucleophiles in the C(sp3)-Ge Cross-Coupling with Alkyl Electrophiles.pdf</x:v>
      </x:c>
      <x:c r="E3" s="29" t="str">
        <x:v>ge\有机方法学\Mechanistic Dichotomy of Magnesium- and Zinc-Based Germanium Nucleophiles in the C(sp3)-Ge Cross-Coupling with Alkyl Electrophiles.pdf</x:v>
      </x:c>
      <x:c r="F3" s="29" t="n">
        <x:v>2</x:v>
      </x:c>
      <x:c r="G3" s="29" t="str">
        <x:v>Present in ge/_bench/corpus.json</x:v>
      </x:c>
    </x:row>
    <x:row r="4" ht="42" customHeight="1">
      <x:c r="A4" s="29" t="n">
        <x:v>3</x:v>
      </x:c>
      <x:c r="B4" s="29" t="str">
        <x:v>Palladium-Catalyzed Completely Linear-Selective Negishi Cross-Coupling of Allylzinc Halides with Aryl and Vinyl Electrophiles</x:v>
      </x:c>
      <x:c r="C4" s="29" t="str">
        <x:v>organogermanium / organozinc cross-coupling methodology</x:v>
      </x:c>
      <x:c r="D4" s="29" t="str">
        <x:v>Palladium-Catalyzed Completely Linear-Selective Negishi Cross-Coupling of Allylzinc Halides with Aryl and Vinyl Electrophiles.pdf</x:v>
      </x:c>
      <x:c r="E4" s="29" t="str">
        <x:v>ge\有机方法学\Palladium-Catalyzed Completely Linear-Selective Negishi Cross-Coupling of Allylzinc Halides with Aryl and Vinyl Electrophiles.pdf</x:v>
      </x:c>
      <x:c r="F4" s="29" t="n">
        <x:v>2</x:v>
      </x:c>
      <x:c r="G4" s="29" t="str">
        <x:v>Present in ge/_bench/corpus.json</x:v>
      </x:c>
    </x:row>
    <x:row r="5" ht="42" customHeight="1">
      <x:c r="A5" s="29" t="n">
        <x:v>4</x:v>
      </x:c>
      <x:c r="B5" s="29" t="str">
        <x:v>Nickel-Catalyzed Carbonylative Negishi Cross-Coupling of Unactivated Secondary Alkyl Electrophiles with 1 atm CO Gas</x:v>
      </x:c>
      <x:c r="C5" s="29" t="str">
        <x:v>organogermanium / organozinc cross-coupling methodology</x:v>
      </x:c>
      <x:c r="D5" s="29" t="str">
        <x:v>Nickel-Catalyzed Carbonylative Negishi Cross-Coupling of Unactivated Secondary Alkyl Electrophiles with 1 atm CO Gas.pdf</x:v>
      </x:c>
      <x:c r="E5" s="29" t="str">
        <x:v>ge\有机方法学\Nickel-Catalyzed Carbonylative Negishi Cross-Coupling of Unactivated Secondary Alkyl Electrophiles with 1 atm CO Gas.pdf</x:v>
      </x:c>
      <x:c r="F5" s="29" t="n">
        <x:v>1</x:v>
      </x:c>
      <x:c r="G5" s="29" t="str">
        <x:v>Present in ge/_bench/corpus.json</x:v>
      </x:c>
    </x:row>
    <x:row r="6" ht="42" customHeight="1">
      <x:c r="A6" s="29" t="n">
        <x:v>5</x:v>
      </x:c>
      <x:c r="B6" s="29" t="str">
        <x:v>Nickel-Catalyzed Cross-Coupling of Aryltrimethylammonium Iodides with Organozinc Reagents</x:v>
      </x:c>
      <x:c r="C6" s="29" t="str">
        <x:v>organogermanium / organozinc cross-coupling methodology</x:v>
      </x:c>
      <x:c r="D6" s="29" t="str">
        <x:v>Nickel-Catalyzed Cross-Coupling of Aryltrimethylammonium Iodides with Organozinc Reagents.pdf</x:v>
      </x:c>
      <x:c r="E6" s="29" t="str">
        <x:v>ge\有机方法学\Nickel-Catalyzed Cross-Coupling of Aryltrimethylammonium Iodides with Organozinc Reagents.pdf</x:v>
      </x:c>
      <x:c r="F6" s="29" t="n">
        <x:v>1</x:v>
      </x:c>
      <x:c r="G6" s="29" t="str">
        <x:v>Present in ge/_bench/corpus.json</x:v>
      </x:c>
    </x:row>
    <x:row r="7" ht="42" customHeight="1">
      <x:c r="A7" s="29" t="n">
        <x:v>6</x:v>
      </x:c>
      <x:c r="B7" s="29" t="str">
        <x:v>Umpolung Amination- Nickel-Catalyzed Coupling Reactions of N,N-Dialkyl-N-chloroamines with Diorganozinc Reagents</x:v>
      </x:c>
      <x:c r="C7" s="29" t="str">
        <x:v>organogermanium / organozinc cross-coupling methodology</x:v>
      </x:c>
      <x:c r="D7" s="29" t="str">
        <x:v>Umpolung Amination- Nickel-Catalyzed Coupling Reactions of N,N-Dialkyl-N-chloroamines with Diorganozinc Reagents.pdf</x:v>
      </x:c>
      <x:c r="E7" s="29" t="str">
        <x:v>ge\有机方法学\Umpolung Amination- Nickel-Catalyzed Coupling Reactions of N,N-Dialkyl-N-chloroamines with Diorganozinc Reagents.pdf</x:v>
      </x:c>
      <x:c r="F7" s="29" t="n">
        <x:v>2</x:v>
      </x:c>
      <x:c r="G7" s="29" t="str">
        <x:v>Present in ge/_bench/corpus.json</x:v>
      </x:c>
    </x:row>
    <x:row r="8" ht="42" customHeight="1">
      <x:c r="A8" s="29" t="n">
        <x:v>7</x:v>
      </x:c>
      <x:c r="B8" s="29" t="str">
        <x:v>A Robust and Broadly Applicable Cobalt-Catalyzed Cross-Coupling of Functionalized Bench-Stable Organozinc Pivalates with Unsaturated Halides</x:v>
      </x:c>
      <x:c r="C8" s="29" t="str">
        <x:v>organogermanium / organozinc cross-coupling methodology</x:v>
      </x:c>
      <x:c r="D8" s="29" t="str">
        <x:v>A Robust and Broadly Applicable Cobalt-Catalyzed Cross-Coupling of Functionalized Bench-Stable Organozinc Pivalates with Unsaturated Halides.pdf</x:v>
      </x:c>
      <x:c r="E8" s="29" t="str">
        <x:v>ge\有机方法学\A Robust and Broadly Applicable Cobalt-Catalyzed Cross-Coupling of Functionalized Bench-Stable Organozinc Pivalates with Unsaturated Halides.pdf</x:v>
      </x:c>
      <x:c r="F8" s="29" t="n">
        <x:v>1</x:v>
      </x:c>
      <x:c r="G8" s="29" t="str">
        <x:v>Present in ge/_bench/corpus.json</x:v>
      </x:c>
    </x:row>
    <x:row r="9" ht="42" customHeight="1">
      <x:c r="A9" s="29" t="n">
        <x:v>8</x:v>
      </x:c>
      <x:c r="B9" s="29" t="str">
        <x:v>Cobalt-Catalyzed Cross-Couplings between Alkenyl Acetates and Aryl or Alkenyl Zinc Pivalates</x:v>
      </x:c>
      <x:c r="C9" s="29" t="str">
        <x:v>organogermanium / organozinc cross-coupling methodology</x:v>
      </x:c>
      <x:c r="D9" s="29" t="str">
        <x:v>Cobalt-Catalyzed Cross-Couplings between Alkenyl Acetates and Aryl or Alkenyl Zinc Pivalates.pdf</x:v>
      </x:c>
      <x:c r="E9" s="29" t="str">
        <x:v>ge\有机方法学\Cobalt-Catalyzed Cross-Couplings between Alkenyl Acetates and Aryl or Alkenyl Zinc Pivalates.pdf</x:v>
      </x:c>
      <x:c r="F9" s="29" t="n">
        <x:v>1</x:v>
      </x:c>
      <x:c r="G9" s="29" t="str">
        <x:v>Present in ge/_bench/corpus.json</x:v>
      </x:c>
    </x:row>
    <x:row r="10" ht="42" customHeight="1">
      <x:c r="A10" s="29" t="n">
        <x:v>9</x:v>
      </x:c>
      <x:c r="B10" s="29" t="str">
        <x:v>Cobalt-Catalyzed Electrophilic Amination of Aryl- and Heteroarylzinc Pivalates with N-Hydroxylamine Benzoates</x:v>
      </x:c>
      <x:c r="C10" s="29" t="str">
        <x:v>organogermanium / organozinc cross-coupling methodology</x:v>
      </x:c>
      <x:c r="D10" s="29" t="str">
        <x:v>Cobalt-Catalyzed Electrophilic Amination of Aryl- and Heteroarylzinc Pivalates with N-Hydroxylamine Benzoates.pdf</x:v>
      </x:c>
      <x:c r="E10" s="29" t="str">
        <x:v>ge\有机方法学\Cobalt-Catalyzed Electrophilic Amination of Aryl- and Heteroarylzinc Pivalates with N-Hydroxylamine Benzoates.pdf</x:v>
      </x:c>
      <x:c r="F10" s="29" t="n">
        <x:v>2</x:v>
      </x:c>
      <x:c r="G10" s="29" t="str">
        <x:v>Present in ge/_bench/corpus.json</x:v>
      </x:c>
    </x:row>
    <x:row r="11" ht="42" customHeight="1">
      <x:c r="A11" s="29" t="n">
        <x:v>10</x:v>
      </x:c>
      <x:c r="B11" s="29" t="str">
        <x:v>Direct C(sp2)-C(sp3) Cross-Coupling of Diaryl Zinc Reagents with Benzylic, Primary, Secondary, and Tertiary Alkyl Halides</x:v>
      </x:c>
      <x:c r="C11" s="29" t="str">
        <x:v>organogermanium / organozinc cross-coupling methodology</x:v>
      </x:c>
      <x:c r="D11" s="29" t="str">
        <x:v>Direct C(sp2)-C(sp3) Cross-Coupling of Diaryl Zinc Reagents with Benzylic, Primary, Secondary, and Tertiary Alkyl Halides.pdf</x:v>
      </x:c>
      <x:c r="E11" s="29" t="str">
        <x:v>ge\有机方法学\Direct C(sp2)-C(sp3) Cross-Coupling of Diaryl Zinc Reagents with Benzylic, Primary, Secondary, and Tertiary Alkyl Halides.pdf</x:v>
      </x:c>
      <x:c r="F11" s="29" t="n">
        <x:v>1</x:v>
      </x:c>
      <x:c r="G11" s="29" t="str">
        <x:v>Present in ge/_bench/corpus.json</x:v>
      </x:c>
    </x:row>
    <x:row r="12" ht="42" customHeight="1">
      <x:c r="A12" s="29" t="n">
        <x:v>11</x:v>
      </x:c>
      <x:c r="B12" s="29" t="str">
        <x:v>Directed Nickel-Catalyzed Negishi Cross Coupling of Alkyl Aziridines</x:v>
      </x:c>
      <x:c r="C12" s="29" t="str">
        <x:v>organogermanium / organozinc cross-coupling methodology</x:v>
      </x:c>
      <x:c r="D12" s="29" t="str">
        <x:v>Directed Nickel-Catalyzed Negishi Cross Coupling of Alkyl Aziridines.pdf</x:v>
      </x:c>
      <x:c r="E12" s="29" t="str">
        <x:v>ge\有机方法学\Directed Nickel-Catalyzed Negishi Cross Coupling of Alkyl Aziridines.pdf</x:v>
      </x:c>
      <x:c r="F12" s="29" t="n">
        <x:v>1</x:v>
      </x:c>
      <x:c r="G12" s="29" t="str">
        <x:v>Present in ge/_bench/corpus.json</x:v>
      </x:c>
    </x:row>
    <x:row r="13" ht="42" customHeight="1">
      <x:c r="A13" s="29" t="n">
        <x:v>12</x:v>
      </x:c>
      <x:c r="B13" s="29" t="str">
        <x:v>Enantioconvergent Negishi Cross-Couplings of Racemic Secondary Organozinc Reagents to Access Privileged Scaffolds- A Combined Experimental and Theoret</x:v>
      </x:c>
      <x:c r="C13" s="29" t="str">
        <x:v>organogermanium / organozinc cross-coupling methodology</x:v>
      </x:c>
      <x:c r="D13" s="29" t="str">
        <x:v>Enantioconvergent Negishi Cross-Couplings of Racemic Secondary Organozinc Reagents to Access Privileged Scaffolds- A Combined Experimental and Theoret.pdf</x:v>
      </x:c>
      <x:c r="E13" s="29" t="str">
        <x:v>ge\有机方法学\Enantioconvergent Negishi Cross-Couplings of Racemic Secondary Organozinc Reagents to Access Privileged Scaffolds- A Combined Experimental and Theoret.pdf</x:v>
      </x:c>
      <x:c r="F13" s="29" t="n">
        <x:v>1</x:v>
      </x:c>
      <x:c r="G13" s="29" t="str">
        <x:v>Present in ge/_bench/corpus.json</x:v>
      </x:c>
    </x:row>
    <x:row r="14" ht="42" customHeight="1">
      <x:c r="A14" s="29" t="n">
        <x:v>13</x:v>
      </x:c>
      <x:c r="B14" s="29" t="str">
        <x:v>Highly efficient nickel-catalyzed cross-coupling of succinic and glutaric anhydrides with organozinc reagents</x:v>
      </x:c>
      <x:c r="C14" s="29" t="str">
        <x:v>organogermanium / organozinc cross-coupling methodology</x:v>
      </x:c>
      <x:c r="D14" s="29" t="str">
        <x:v>Highly efficient nickel-catalyzed cross-coupling of succinic and glutaric anhydrides with organozinc reagents.pdf</x:v>
      </x:c>
      <x:c r="E14" s="29" t="str">
        <x:v>ge\有机方法学\Highly efficient nickel-catalyzed cross-coupling of succinic and glutaric anhydrides with organozinc reagents.pdf</x:v>
      </x:c>
      <x:c r="F14" s="29" t="n">
        <x:v>1</x:v>
      </x:c>
      <x:c r="G14" s="29" t="str">
        <x:v>Present in ge/_bench/corpus.json</x:v>
      </x:c>
    </x:row>
    <x:row r="15" ht="42" customHeight="1">
      <x:c r="A15" s="29" t="n">
        <x:v>14</x:v>
      </x:c>
      <x:c r="B15" s="29" t="str">
        <x:v>Ligand-Free Copper-Catalyzed Negishi Coupling of Alkyl-, Aryl-, and Alkynylzinc Reagents with Heteroaryl Iodides</x:v>
      </x:c>
      <x:c r="C15" s="29" t="str">
        <x:v>organogermanium / organozinc cross-coupling methodology</x:v>
      </x:c>
      <x:c r="D15" s="29" t="str">
        <x:v>Ligand-Free Copper-Catalyzed Negishi Coupling of Alkyl-, Aryl-, and Alkynylzinc Reagents with Heteroaryl Iodides.pdf</x:v>
      </x:c>
      <x:c r="E15" s="29" t="str">
        <x:v>ge\有机方法学\Ligand-Free Copper-Catalyzed Negishi Coupling of Alkyl-, Aryl-, and Alkynylzinc Reagents with Heteroaryl Iodides.pdf</x:v>
      </x:c>
      <x:c r="F15" s="29" t="n">
        <x:v>1</x:v>
      </x:c>
      <x:c r="G15" s="29" t="str">
        <x:v>Present in ge/_bench/corpus.json</x:v>
      </x:c>
    </x:row>
    <x:row r="16" ht="42" customHeight="1">
      <x:c r="A16" s="29" t="n">
        <x:v>15</x:v>
      </x:c>
      <x:c r="B16" s="29" t="str">
        <x:v>Negishi Coupling of Secondary Alkylzinc Halides with Aryl Bromides and Chlorides</x:v>
      </x:c>
      <x:c r="C16" s="29" t="str">
        <x:v>organogermanium / organozinc cross-coupling methodology</x:v>
      </x:c>
      <x:c r="D16" s="29" t="str">
        <x:v>Negishi Coupling of Secondary Alkylzinc Halides with Aryl Bromides and Chlorides.pdf</x:v>
      </x:c>
      <x:c r="E16" s="29" t="str">
        <x:v>ge\有机方法学\Negishi Coupling of Secondary Alkylzinc Halides with Aryl Bromides and Chlorides.pdf</x:v>
      </x:c>
      <x:c r="F16" s="29" t="n">
        <x:v>1</x:v>
      </x:c>
      <x:c r="G16" s="29" t="str">
        <x:v>Present in ge/_bench/corpus.json</x:v>
      </x:c>
    </x:row>
    <x:row r="17" ht="42" customHeight="1">
      <x:c r="A17" s="29" t="n">
        <x:v>16</x:v>
      </x:c>
      <x:c r="B17" s="29" t="str">
        <x:v>Organozinc pivalates for cobalt-catalyzed difluoroalkylarylation of alkenes</x:v>
      </x:c>
      <x:c r="C17" s="29" t="str">
        <x:v>organogermanium / organozinc cross-coupling methodology</x:v>
      </x:c>
      <x:c r="D17" s="29" t="str">
        <x:v>Organozinc pivalates for cobalt-catalyzed difluoroalkylarylation of alkenes.pdf</x:v>
      </x:c>
      <x:c r="E17" s="29" t="str">
        <x:v>ge\有机方法学\Organozinc pivalates for cobalt-catalyzed difluoroalkylarylation of alkenes.pdf</x:v>
      </x:c>
      <x:c r="F17" s="29" t="n">
        <x:v>1</x:v>
      </x:c>
      <x:c r="G17" s="29" t="str">
        <x:v>Present in ge/_bench/corpus.json</x:v>
      </x:c>
    </x:row>
    <x:row r="18" ht="42" customHeight="1">
      <x:c r="A18" s="29" t="n">
        <x:v>17</x:v>
      </x:c>
      <x:c r="B18" s="29" t="str">
        <x:v>Photoinduced Palladium-Catalyzed Negishi Cross-Couplings Enabled by the Visible-Light Absorption of Palladium-Zinc Complexes</x:v>
      </x:c>
      <x:c r="C18" s="29" t="str">
        <x:v>organogermanium / organozinc cross-coupling methodology</x:v>
      </x:c>
      <x:c r="D18" s="29" t="str">
        <x:v>Photoinduced Palladium-Catalyzed Negishi Cross-Couplings Enabled by the Visible-Light Absorption of Palladium-Zinc Complexes.pdf</x:v>
      </x:c>
      <x:c r="E18" s="29" t="str">
        <x:v>ge\有机方法学\Photoinduced Palladium-Catalyzed Negishi Cross-Couplings Enabled by the Visible-Light Absorption of Palladium-Zinc Complexes.pdf</x:v>
      </x:c>
      <x:c r="F18" s="29" t="n">
        <x:v>1</x:v>
      </x:c>
      <x:c r="G18" s="29" t="str">
        <x:v>Present in ge/_bench/corpus.json</x:v>
      </x:c>
    </x:row>
    <x:row r="19" ht="42" customHeight="1">
      <x:c r="A19" s="29" t="n">
        <x:v>18</x:v>
      </x:c>
      <x:c r="B19" s="29" t="str">
        <x:v>Scalable Negishi Coupling between Organozinc Compounds and (Hetero)Aryl Bromides under Aerobic Conditions when using Bulk Water or Deep Eutectic Solve</x:v>
      </x:c>
      <x:c r="C19" s="29" t="str">
        <x:v>organogermanium / organozinc cross-coupling methodology</x:v>
      </x:c>
      <x:c r="D19" s="29" t="str">
        <x:v>Scalable Negishi Coupling between Organozinc Compounds and (Hetero)Aryl Bromides under Aerobic Conditions when using Bulk Water or Deep Eutectic Solve.pdf</x:v>
      </x:c>
      <x:c r="E19" s="29" t="str">
        <x:v>ge\有机方法学\Scalable Negishi Coupling between Organozinc Compounds and (Hetero)Aryl Bromides under Aerobic Conditions when using Bulk Water or Deep Eutectic Solve.pdf</x:v>
      </x:c>
      <x:c r="F19" s="29" t="n">
        <x:v>1</x:v>
      </x:c>
      <x:c r="G19" s="29" t="str">
        <x:v>Present in ge/_bench/corpus.json</x:v>
      </x:c>
    </x:row>
    <x:row r="20" ht="42" customHeight="1">
      <x:c r="A20" s="29" t="n">
        <x:v>19</x:v>
      </x:c>
      <x:c r="B20" s="29" t="str">
        <x:v>Enantioconvergent Fukuyama Cross-Coupling of Racemic Benzylic Organozinc Reagents</x:v>
      </x:c>
      <x:c r="C20" s="29" t="str">
        <x:v>organogermanium / organozinc cross-coupling methodology</x:v>
      </x:c>
      <x:c r="D20" s="29" t="str">
        <x:v>Enantioconvergent Fukuyama Cross-Coupling of Racemic Benzylic Organozinc Reagents.pdf</x:v>
      </x:c>
      <x:c r="E20" s="29" t="str">
        <x:v>ge\有机方法学\Enantioconvergent Fukuyama Cross-Coupling of Racemic Benzylic Organozinc Reagents.pdf</x:v>
      </x:c>
      <x:c r="F20" s="29" t="n">
        <x:v>2</x:v>
      </x:c>
      <x:c r="G20" s="29" t="str">
        <x:v>Present in ge/_bench/corpus.json</x:v>
      </x:c>
    </x:row>
    <x:row r="21" ht="42" customHeight="1">
      <x:c r="A21" s="29" t="n">
        <x:v>20</x:v>
      </x:c>
      <x:c r="B21" s="29" t="str">
        <x:v>Ligand-Promoted Oxidative Cross-Coupling of Aryl Boronic Acids and Aryl Silanes by Palladium Catalysis</x:v>
      </x:c>
      <x:c r="C21" s="29" t="str">
        <x:v>organogermanium / organozinc cross-coupling methodology</x:v>
      </x:c>
      <x:c r="D21" s="29" t="str">
        <x:v>Ligand-Promoted Oxidative Cross-Coupling of Aryl Boronic Acids and Aryl Silanes by Palladium Catalysis.pdf</x:v>
      </x:c>
      <x:c r="E21" s="29" t="str">
        <x:v>ge\有机方法学\Ligand-Promoted Oxidative Cross-Coupling of Aryl Boronic Acids and Aryl Silanes by Palladium Catalysis.pdf</x:v>
      </x:c>
      <x:c r="F21" s="29" t="n">
        <x:v>1</x:v>
      </x:c>
      <x:c r="G21" s="29" t="str">
        <x:v>Present in ge/_bench/corpus.json</x:v>
      </x:c>
    </x:row>
    <x:row r="22" ht="42" customHeight="1">
      <x:c r="A22" s="29" t="n">
        <x:v>21</x:v>
      </x:c>
      <x:c r="B22" s="29" t="str">
        <x:v>Mechanochemical Activation of Zinc and Application to Negishi Cross-Coupling</x:v>
      </x:c>
      <x:c r="C22" s="29" t="str">
        <x:v>organogermanium / organozinc cross-coupling methodology</x:v>
      </x:c>
      <x:c r="D22" s="29" t="str">
        <x:v>Mechanochemical Activation of Zinc and Application to Negishi Cross-Coupling.pdf</x:v>
      </x:c>
      <x:c r="E22" s="29" t="str">
        <x:v>ge\有机方法学\Mechanochemical Activation of Zinc and Application to Negishi Cross-Coupling.pdf</x:v>
      </x:c>
      <x:c r="F22" s="29" t="n">
        <x:v>2</x:v>
      </x:c>
      <x:c r="G22" s="29" t="str">
        <x:v>Present in ge/_bench/corpus.json</x:v>
      </x:c>
    </x:row>
    <x:row r="23" ht="42" customHeight="1">
      <x:c r="A23" s="29" t="n">
        <x:v>22</x:v>
      </x:c>
      <x:c r="B23" s="29" t="str">
        <x:v>Palladium-Catalyzed Hydroalkylation of Styrenes with Organozinc Reagents To Form Carbon-Carbon sp3-sp3 Bonds under Oxidative Conditions</x:v>
      </x:c>
      <x:c r="C23" s="29" t="str">
        <x:v>organogermanium / organozinc cross-coupling methodology</x:v>
      </x:c>
      <x:c r="D23" s="29" t="str">
        <x:v>Palladium-Catalyzed Hydroalkylation of Styrenes with Organozinc Reagents To Form Carbon-Carbon sp3-sp3 Bonds under Oxidative Conditions.pdf</x:v>
      </x:c>
      <x:c r="E23" s="29" t="str">
        <x:v>ge\有机方法学\Palladium-Catalyzed Hydroalkylation of Styrenes with Organozinc Reagents To Form Carbon-Carbon sp3-sp3 Bonds under Oxidative Conditions.pdf</x:v>
      </x:c>
      <x:c r="F23" s="29" t="n">
        <x:v>1</x:v>
      </x:c>
      <x:c r="G23" s="29" t="str">
        <x:v>Present in ge/_bench/corpus.json</x:v>
      </x:c>
    </x:row>
  </x:sheetData>
  <x:pageMargins left="0.7" right="0.7" top="0.75" bottom="0.75" header="0.3" footer="0.3"/>
  <x:tableParts count="1">
    <x:tablePart xmlns:r="http://schemas.openxmlformats.org/officeDocument/2006/relationships" r:id="R3c8deaa57b39438f"/>
  </x:tableParts>
</x:worksheet>
</file>