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99aaf686d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ddeccfbe9c504108"/>
    <x:sheet xmlns:r="http://schemas.openxmlformats.org/officeDocument/2006/relationships" name="Publications" sheetId="2" r:id="R9f57052bc6a0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C00000"/>
      <x:name val="Carlito"/>
    </x:font>
    <x:font>
      <x:sz val="11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47b15b1b54979" /><Relationship Type="http://schemas.openxmlformats.org/officeDocument/2006/relationships/theme" Target="/xl/theme/theme1.xml" Id="Rd9b2b569cb0c4e7b" /><Relationship Type="http://schemas.openxmlformats.org/officeDocument/2006/relationships/sharedStrings" Target="/xl/sharedStrings.xml" Id="R71017e0d88e54add" /><Relationship Type="http://schemas.openxmlformats.org/officeDocument/2006/relationships/worksheet" Target="/xl/worksheets/sheet1.xml" Id="Rddeccfbe9c504108" /><Relationship Type="http://schemas.openxmlformats.org/officeDocument/2006/relationships/worksheet" Target="/xl/worksheets/sheet2.xml" Id="R9f57052bc6a04957" /></Relationships>
</file>

<file path=xl/tables/table1.xml><?xml version="1.0" encoding="utf-8"?>
<x:table xmlns:x="http://schemas.openxmlformats.org/spreadsheetml/2006/main" id="1" name="GePublicationsAvailable" displayName="GePublicationsAvailable" ref="A1:W51" headerRowCount="1" totalsRowCount="0" totalsRowShown="0">
  <x:autoFilter ref="A1:W51"/>
  <x:tableColumns count="23">
    <x:tableColumn id="1" name="Record no."/>
    <x:tableColumn id="2" name="Source row"/>
    <x:tableColumn id="3" name="Publication type"/>
    <x:tableColumn id="4" name="Authors"/>
    <x:tableColumn id="5" name="Article title"/>
    <x:tableColumn id="6" name="Source title"/>
    <x:tableColumn id="7" name="Document type"/>
    <x:tableColumn id="8" name="Language"/>
    <x:tableColumn id="9" name="Publication date"/>
    <x:tableColumn id="10" name="Publication year"/>
    <x:tableColumn id="11" name="Volume"/>
    <x:tableColumn id="12" name="Issue"/>
    <x:tableColumn id="13" name="Start page"/>
    <x:tableColumn id="14" name="End page"/>
    <x:tableColumn id="15" name="Article number"/>
    <x:tableColumn id="16" name="DOI"/>
    <x:tableColumn id="17" name="DOI link"/>
    <x:tableColumn id="18" name="PubMed ID"/>
    <x:tableColumn id="19" name="WoS ID"/>
    <x:tableColumn id="20" name="Times cited (WoS)"/>
    <x:tableColumn id="21" name="Author keywords"/>
    <x:tableColumn id="22" name="Duplicate normalized title"/>
    <x:tableColumn id="23" name="Abstr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8e2a531d0345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62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0" customHeight="1">
      <x:c r="A1" s="4" t="str">
        <x:v>Ge reagent publication list - available Web of Science export</x:v>
      </x:c>
      <x:c r="B1" s="4" t="str">
        <x:v>Ge reagent publication list - available Web of Science export</x:v>
      </x:c>
      <x:c r="C1" s="4" t="str">
        <x:v>Ge reagent publication list - available Web of Science export</x:v>
      </x:c>
      <x:c r="D1" s="4" t="str">
        <x:v>Ge reagent publication list - available Web of Science export</x:v>
      </x:c>
      <x:c r="E1" s="4" t="str">
        <x:v>Ge reagent publication list - available Web of Science export</x:v>
      </x:c>
      <x:c r="F1" s="4" t="str">
        <x:v>Ge reagent publication list - available Web of Science export</x:v>
      </x:c>
      <x:c r="G1" s="4" t="str">
        <x:v>Ge reagent publication list - available Web of Science export</x:v>
      </x:c>
      <x:c r="H1" s="4" t="str">
        <x:v>Ge reagent publication list - available Web of Science export</x:v>
      </x:c>
    </x:row>
    <x:row r="2" ht="36" customHeight="1">
      <x:c r="A2" s="8" t="str">
        <x:v>Annotated total: 256 publications. The only local WoS export contains 50 records (49 normalized titles).</x:v>
      </x:c>
      <x:c r="B2" s="8" t="str">
        <x:v>Annotated total: 256 publications. The only local WoS export contains 50 records (49 normalized titles).</x:v>
      </x:c>
      <x:c r="C2" s="8" t="str">
        <x:v>Annotated total: 256 publications. The only local WoS export contains 50 records (49 normalized titles).</x:v>
      </x:c>
      <x:c r="D2" s="8" t="str">
        <x:v>Annotated total: 256 publications. The only local WoS export contains 50 records (49 normalized titles).</x:v>
      </x:c>
      <x:c r="E2" s="8" t="str">
        <x:v>Annotated total: 256 publications. The only local WoS export contains 50 records (49 normalized titles).</x:v>
      </x:c>
      <x:c r="F2" s="8" t="str">
        <x:v>Annotated total: 256 publications. The only local WoS export contains 50 records (49 normalized titles).</x:v>
      </x:c>
      <x:c r="G2" s="8" t="str">
        <x:v>Annotated total: 256 publications. The only local WoS export contains 50 records (49 normalized titles).</x:v>
      </x:c>
      <x:c r="H2" s="8" t="str">
        <x:v>Annotated total: 256 publications. The only local WoS export contains 50 records (49 normalized titles).</x:v>
      </x:c>
    </x:row>
    <x:row r="4">
      <x:c r="A4" s="18" t="str">
        <x:v>Metric</x:v>
      </x:c>
      <x:c r="B4" s="18" t="str">
        <x:v>Value</x:v>
      </x:c>
      <x:c r="C4" s="18" t="str">
        <x:v>Interpretation</x:v>
      </x:c>
      <x:c r="D4" s="18" t="str"/>
      <x:c r="E4" s="18" t="str"/>
      <x:c r="F4" s="18" t="str"/>
      <x:c r="G4" s="18" t="str"/>
      <x:c r="H4" s="18" t="str"/>
    </x:row>
    <x:row r="5" ht="32" customHeight="1">
      <x:c r="A5" s="23" t="str">
        <x:v>Requested/annotated total</x:v>
      </x:c>
      <x:c r="B5" s="24" t="n">
        <x:v>256</x:v>
      </x:c>
      <x:c r="C5" s="24" t="str">
        <x:v>Number stated in the annotated SI.</x:v>
      </x:c>
      <x:c r="D5" s="24" t="str"/>
      <x:c r="E5" s="24" t="str"/>
      <x:c r="F5" s="24" t="str"/>
      <x:c r="G5" s="24" t="str"/>
      <x:c r="H5" s="24" t="str"/>
    </x:row>
    <x:row r="6" ht="32" customHeight="1">
      <x:c r="A6" s="23" t="str">
        <x:v>Locally traceable records</x:v>
      </x:c>
      <x:c r="B6" s="24" t="n">
        <x:v>50</x:v>
      </x:c>
      <x:c r="C6" s="24" t="str">
        <x:v>Records present in the local source export.</x:v>
      </x:c>
      <x:c r="D6" s="24" t="str"/>
      <x:c r="E6" s="24" t="str"/>
      <x:c r="F6" s="24" t="str"/>
      <x:c r="G6" s="24" t="str"/>
      <x:c r="H6" s="24" t="str"/>
    </x:row>
    <x:row r="7" ht="32" customHeight="1">
      <x:c r="A7" s="23" t="str">
        <x:v>Coverage</x:v>
      </x:c>
      <x:c r="B7" s="25" t="n">
        <x:f>IFERROR(B6/B5,0)</x:f>
        <x:v>0.1953125</x:v>
      </x:c>
      <x:c r="C7" s="24" t="str">
        <x:v>Computed as available / requested.</x:v>
      </x:c>
      <x:c r="D7" s="24" t="str"/>
      <x:c r="E7" s="24" t="str"/>
      <x:c r="F7" s="24" t="str"/>
      <x:c r="G7" s="24" t="str"/>
      <x:c r="H7" s="24" t="str"/>
    </x:row>
    <x:row r="8" ht="32" customHeight="1">
      <x:c r="A8" s="23" t="str">
        <x:v>Missing source records</x:v>
      </x:c>
      <x:c r="B8" s="24" t="n">
        <x:f>MAX(B5-B6,0)</x:f>
        <x:v>206</x:v>
      </x:c>
      <x:c r="C8" s="24" t="str">
        <x:v>Computed gap; missing records were not fabricated.</x:v>
      </x:c>
      <x:c r="D8" s="24" t="str"/>
      <x:c r="E8" s="24" t="str"/>
      <x:c r="F8" s="24" t="str"/>
      <x:c r="G8" s="24" t="str"/>
      <x:c r="H8" s="24" t="str"/>
    </x:row>
    <x:row r="9" ht="32" customHeight="1">
      <x:c r="A9" s="23" t="str">
        <x:v>Unique normalized titles</x:v>
      </x:c>
      <x:c r="B9" s="24" t="n">
        <x:v>49</x:v>
      </x:c>
      <x:c r="C9" s="24" t="str">
        <x:v>Title-normalized distinct count.</x:v>
      </x:c>
      <x:c r="D9" s="24" t="str"/>
      <x:c r="E9" s="24" t="str"/>
      <x:c r="F9" s="24" t="str"/>
      <x:c r="G9" s="24" t="str"/>
      <x:c r="H9" s="24" t="str"/>
    </x:row>
    <x:row r="10" ht="32" customHeight="1">
      <x:c r="A10" s="23" t="str">
        <x:v>DOI present</x:v>
      </x:c>
      <x:c r="B10" s="24" t="n">
        <x:v>32</x:v>
      </x:c>
      <x:c r="C10" s="24" t="str">
        <x:v>Non-empty DOI values in the source.</x:v>
      </x:c>
      <x:c r="D10" s="24" t="str"/>
      <x:c r="E10" s="24" t="str"/>
      <x:c r="F10" s="24" t="str"/>
      <x:c r="G10" s="24" t="str"/>
      <x:c r="H10" s="24" t="str"/>
    </x:row>
    <x:row r="11" ht="32" customHeight="1">
      <x:c r="A11" s="23" t="str">
        <x:v>DOI missing</x:v>
      </x:c>
      <x:c r="B11" s="24" t="n">
        <x:v>18</x:v>
      </x:c>
      <x:c r="C11" s="24" t="str">
        <x:v>Records without a DOI in the source.</x:v>
      </x:c>
      <x:c r="D11" s="24" t="str"/>
      <x:c r="E11" s="24" t="str"/>
      <x:c r="F11" s="24" t="str"/>
      <x:c r="G11" s="24" t="str"/>
      <x:c r="H11" s="24" t="str"/>
    </x:row>
    <x:row r="12" ht="32" customHeight="1">
      <x:c r="A12" s="23" t="str">
        <x:v>Source file</x:v>
      </x:c>
      <x:c r="B12" s="24" t="str">
        <x:v>sci_hub_supercon/Ge_reagents.xls</x:v>
      </x:c>
      <x:c r="C12" s="24" t="str">
        <x:v>Read-only local source used to create this workbook.</x:v>
      </x:c>
      <x:c r="D12" s="24" t="str"/>
      <x:c r="E12" s="24" t="str"/>
      <x:c r="F12" s="24" t="str"/>
      <x:c r="G12" s="24" t="str"/>
      <x:c r="H12" s="24" t="str"/>
    </x:row>
    <x:row r="13" ht="32" customHeight="1">
      <x:c r="A13" s="23" t="str">
        <x:v>Source sheet/data</x:v>
      </x:c>
      <x:c r="B13" s="24" t="str">
        <x:v>savedrecs</x:v>
      </x:c>
      <x:c r="C13" s="24" t="str">
        <x:v>Original worksheet or JSON collection.</x:v>
      </x:c>
      <x:c r="D13" s="24" t="str"/>
      <x:c r="E13" s="24" t="str"/>
      <x:c r="F13" s="24" t="str"/>
      <x:c r="G13" s="24" t="str"/>
      <x:c r="H13" s="24" t="str"/>
    </x:row>
    <x:row r="14" ht="32" customHeight="1">
      <x:c r="A14" s="22" t="str">
        <x:v>Integrity note</x:v>
      </x:c>
      <x:c r="B14" s="22" t="str">
        <x:v>INCOMPLETE EXPORT</x:v>
      </x:c>
      <x:c r="C14" s="22" t="str">
        <x:v>At least 206 source records are missing from the local export. The 50 available rows are preserved without fabricating the remainder.</x:v>
      </x:c>
      <x:c r="D14" s="22" t="str"/>
      <x:c r="E14" s="22" t="str"/>
      <x:c r="F14" s="22" t="str"/>
      <x:c r="G14" s="22" t="str"/>
      <x:c r="H14" s="22" t="str"/>
    </x:row>
    <x:row r="15" ht="32" customHeight="1">
      <x:c r="A15" s="23" t="str">
        <x:v>GitHub note</x:v>
      </x:c>
      <x:c r="B15" s="24" t="str">
        <x:v>Uploaded copy</x:v>
      </x:c>
      <x:c r="C15" s="24" t="str">
        <x:v>This workbook records only data present in the cited local source.</x:v>
      </x:c>
      <x:c r="D15" s="24" t="str"/>
      <x:c r="E15" s="24" t="str"/>
      <x:c r="F15" s="24" t="str"/>
      <x:c r="G15" s="24" t="str"/>
      <x:c r="H15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36" hidden="0" customWidth="1"/>
    <x:col min="5" max="5" width="58" hidden="0" customWidth="1"/>
    <x:col min="6" max="6" width="36" hidden="0" customWidth="1"/>
    <x:col min="7" max="7" width="18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  <x:col min="15" max="15" width="15" hidden="0" customWidth="1"/>
    <x:col min="16" max="16" width="28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35" hidden="0" customWidth="1"/>
    <x:col min="22" max="22" width="18" hidden="0" customWidth="1"/>
    <x:col min="23" max="23" width="60" hidden="0" customWidth="1"/>
  </x:cols>
  <x:sheetData>
    <x:row r="1">
      <x:c r="A1" s="28" t="str">
        <x:v>Record no.</x:v>
      </x:c>
      <x:c r="B1" s="28" t="str">
        <x:v>Source row</x:v>
      </x:c>
      <x:c r="C1" s="28" t="str">
        <x:v>Publication type</x:v>
      </x:c>
      <x:c r="D1" s="28" t="str">
        <x:v>Authors</x:v>
      </x:c>
      <x:c r="E1" s="28" t="str">
        <x:v>Article title</x:v>
      </x:c>
      <x:c r="F1" s="28" t="str">
        <x:v>Source title</x:v>
      </x:c>
      <x:c r="G1" s="28" t="str">
        <x:v>Document type</x:v>
      </x:c>
      <x:c r="H1" s="28" t="str">
        <x:v>Language</x:v>
      </x:c>
      <x:c r="I1" s="28" t="str">
        <x:v>Publication date</x:v>
      </x:c>
      <x:c r="J1" s="28" t="str">
        <x:v>Publication year</x:v>
      </x:c>
      <x:c r="K1" s="28" t="str">
        <x:v>Volume</x:v>
      </x:c>
      <x:c r="L1" s="28" t="str">
        <x:v>Issue</x:v>
      </x:c>
      <x:c r="M1" s="28" t="str">
        <x:v>Start page</x:v>
      </x:c>
      <x:c r="N1" s="28" t="str">
        <x:v>End page</x:v>
      </x:c>
      <x:c r="O1" s="28" t="str">
        <x:v>Article number</x:v>
      </x:c>
      <x:c r="P1" s="28" t="str">
        <x:v>DOI</x:v>
      </x:c>
      <x:c r="Q1" s="28" t="str">
        <x:v>DOI link</x:v>
      </x:c>
      <x:c r="R1" s="28" t="str">
        <x:v>PubMed ID</x:v>
      </x:c>
      <x:c r="S1" s="28" t="str">
        <x:v>WoS ID</x:v>
      </x:c>
      <x:c r="T1" s="28" t="str">
        <x:v>Times cited (WoS)</x:v>
      </x:c>
      <x:c r="U1" s="28" t="str">
        <x:v>Author keywords</x:v>
      </x:c>
      <x:c r="V1" s="28" t="str">
        <x:v>Duplicate normalized title</x:v>
      </x:c>
      <x:c r="W1" s="28" t="str">
        <x:v>Abstract</x:v>
      </x:c>
    </x:row>
    <x:row r="2" ht="42" customHeight="1">
      <x:c r="A2" s="29" t="n">
        <x:v>1</x:v>
      </x:c>
      <x:c r="B2" s="29" t="n">
        <x:v>2</x:v>
      </x:c>
      <x:c r="C2" s="29" t="str">
        <x:v>J</x:v>
      </x:c>
      <x:c r="D2" s="29" t="str">
        <x:v>KIMURA, K; ASADA, M</x:v>
      </x:c>
      <x:c r="E2" s="29" t="str">
        <x:v>STUDIES ON ORGANIC REAGENTS FOR THE COLORIMETRIC ANALYSIS OF GERMANIUM .3. COLORIMETRIC DETERMINATION OF GERMANIUM WITH A NEW REAGENT</x:v>
      </x:c>
      <x:c r="F2" s="29" t="str">
        <x:v>BULLETIN OF THE CHEMICAL SOCIETY OF JAPAN</x:v>
      </x:c>
      <x:c r="G2" s="29" t="str"/>
      <x:c r="H2" s="29" t="str"/>
      <x:c r="I2" s="29" t="str"/>
      <x:c r="J2" s="29" t="n">
        <x:v>1956</x:v>
      </x:c>
      <x:c r="K2" s="29" t="n">
        <x:v>29</x:v>
      </x:c>
      <x:c r="L2" s="29" t="n">
        <x:v>7</x:v>
      </x:c>
      <x:c r="M2" s="29" t="n">
        <x:v>812</x:v>
      </x:c>
      <x:c r="N2" s="29" t="n">
        <x:v>815</x:v>
      </x:c>
      <x:c r="O2" s="29" t="str"/>
      <x:c r="P2" s="29" t="str">
        <x:v>10.1246/bcsj.29.812</x:v>
      </x:c>
      <x:c r="Q2" s="30" t="e">
        <x:f>IF(LEN(P2)&gt;0,HYPERLINK("https://doi.org/"&amp;P2,"Open DOI"),"")</x:f>
        <x:v>HYPERLINK is not implemented. linkLocation=https://doi.org/10.1246/bcsj.29.812, friendlyName=Open DOI</x:v>
      </x:c>
      <x:c r="R2" s="29" t="str"/>
      <x:c r="S2" s="29" t="str">
        <x:v>WOS:A1956WJ96400015</x:v>
      </x:c>
      <x:c r="T2" s="29" t="str"/>
      <x:c r="U2" s="29" t="str"/>
      <x:c r="V2" s="29" t="str"/>
      <x:c r="W2" s="29" t="str"/>
    </x:row>
    <x:row r="3" ht="42" customHeight="1">
      <x:c r="A3" s="29" t="n">
        <x:v>2</x:v>
      </x:c>
      <x:c r="B3" s="29" t="n">
        <x:v>3</x:v>
      </x:c>
      <x:c r="C3" s="29" t="str">
        <x:v>J</x:v>
      </x:c>
      <x:c r="D3" s="29" t="str">
        <x:v>KIMURA, K; SANO, H; ASADA, M</x:v>
      </x:c>
      <x:c r="E3" s="29" t="str">
        <x:v>STUDIES ON ORGANIC REAGENTS FOR THE COLORIMETRIC ANALYSIS OF GERMANIUM .2. SYNTHESIS OF A NEW REAGENT AND ITS REACTION WITH GERMANIUM</x:v>
      </x:c>
      <x:c r="F3" s="29" t="str">
        <x:v>BULLETIN OF THE CHEMICAL SOCIETY OF JAPAN</x:v>
      </x:c>
      <x:c r="G3" s="29" t="str"/>
      <x:c r="H3" s="29" t="str"/>
      <x:c r="I3" s="29" t="str"/>
      <x:c r="J3" s="29" t="n">
        <x:v>1956</x:v>
      </x:c>
      <x:c r="K3" s="29" t="n">
        <x:v>29</x:v>
      </x:c>
      <x:c r="L3" s="29" t="n">
        <x:v>5</x:v>
      </x:c>
      <x:c r="M3" s="29" t="n">
        <x:v>640</x:v>
      </x:c>
      <x:c r="N3" s="29" t="n">
        <x:v>643</x:v>
      </x:c>
      <x:c r="O3" s="29" t="str"/>
      <x:c r="P3" s="29" t="str">
        <x:v>10.1246/bcsj.29.640</x:v>
      </x:c>
      <x:c r="Q3" s="30" t="e">
        <x:f>IF(LEN(P3)&gt;0,HYPERLINK("https://doi.org/"&amp;P3,"Open DOI"),"")</x:f>
        <x:v>HYPERLINK is not implemented. linkLocation=https://doi.org/10.1246/bcsj.29.640, friendlyName=Open DOI</x:v>
      </x:c>
      <x:c r="R3" s="29" t="str"/>
      <x:c r="S3" s="29" t="str">
        <x:v>WOS:A1956WJ96200021</x:v>
      </x:c>
      <x:c r="T3" s="29" t="str"/>
      <x:c r="U3" s="29" t="str"/>
      <x:c r="V3" s="29" t="str"/>
      <x:c r="W3" s="29" t="str"/>
    </x:row>
    <x:row r="4" ht="42" customHeight="1">
      <x:c r="A4" s="29" t="n">
        <x:v>3</x:v>
      </x:c>
      <x:c r="B4" s="29" t="n">
        <x:v>4</x:v>
      </x:c>
      <x:c r="C4" s="29" t="str">
        <x:v>J</x:v>
      </x:c>
      <x:c r="D4" s="29" t="str">
        <x:v>Bylikin, SY; Shipov, AG; Kramarova, EP; Artamkina, OB; Negrebetskii, VV; Baukov, YI</x:v>
      </x:c>
      <x:c r="E4" s="29" t="str">
        <x:v>Reactivity of N-(chlorodimethylgermyl)methyl and N-(chlorodimethylsilyl)methyl derivatives of lactams and amides toward Grignard reagents</x:v>
      </x:c>
      <x:c r="F4" s="29" t="str">
        <x:v>RUSSIAN JOURNAL OF GENERAL CHEMISTRY</x:v>
      </x:c>
      <x:c r="G4" s="29" t="str"/>
      <x:c r="H4" s="29" t="str"/>
      <x:c r="I4" s="29" t="str">
        <x:v>SEP</x:v>
      </x:c>
      <x:c r="J4" s="29" t="n">
        <x:v>2004</x:v>
      </x:c>
      <x:c r="K4" s="29" t="n">
        <x:v>74</x:v>
      </x:c>
      <x:c r="L4" s="29" t="n">
        <x:v>9</x:v>
      </x:c>
      <x:c r="M4" s="29" t="n">
        <x:v>1356</x:v>
      </x:c>
      <x:c r="N4" s="29" t="n">
        <x:v>1358</x:v>
      </x:c>
      <x:c r="O4" s="29" t="str"/>
      <x:c r="P4" s="29" t="str">
        <x:v>10.1007/s11176-005-0010-y</x:v>
      </x:c>
      <x:c r="Q4" s="30" t="e">
        <x:f>IF(LEN(P4)&gt;0,HYPERLINK("https://doi.org/"&amp;P4,"Open DOI"),"")</x:f>
        <x:v>HYPERLINK is not implemented. linkLocation=https://doi.org/10.1007/s11176-005-0010-y, friendlyName=Open DOI</x:v>
      </x:c>
      <x:c r="R4" s="29" t="str"/>
      <x:c r="S4" s="29" t="str">
        <x:v>WOS:000225825900010</x:v>
      </x:c>
      <x:c r="T4" s="29" t="str"/>
      <x:c r="U4" s="29" t="str"/>
      <x:c r="V4" s="29" t="str"/>
      <x:c r="W4" s="29" t="str"/>
    </x:row>
    <x:row r="5" ht="42" customHeight="1">
      <x:c r="A5" s="29" t="n">
        <x:v>4</x:v>
      </x:c>
      <x:c r="B5" s="29" t="n">
        <x:v>5</x:v>
      </x:c>
      <x:c r="C5" s="29" t="str">
        <x:v>J</x:v>
      </x:c>
      <x:c r="D5" s="29" t="str">
        <x:v>KIMURA, K; SAITO, K; ASADA, M</x:v>
      </x:c>
      <x:c r="E5" s="29" t="str">
        <x:v>STUDIES ON ORGANIC REAGENTS FOR THE COLORIMETRIC ANALYSIS OF GERMANIUM .1. REACTIONS BETWEEN GERMANIUM AND SOME ORGANIC COMPOUNDS</x:v>
      </x:c>
      <x:c r="F5" s="29" t="str">
        <x:v>BULLETIN OF THE CHEMICAL SOCIETY OF JAPAN</x:v>
      </x:c>
      <x:c r="G5" s="29" t="str"/>
      <x:c r="H5" s="29" t="str"/>
      <x:c r="I5" s="29" t="str"/>
      <x:c r="J5" s="29" t="n">
        <x:v>1956</x:v>
      </x:c>
      <x:c r="K5" s="29" t="n">
        <x:v>29</x:v>
      </x:c>
      <x:c r="L5" s="29" t="n">
        <x:v>5</x:v>
      </x:c>
      <x:c r="M5" s="29" t="n">
        <x:v>635</x:v>
      </x:c>
      <x:c r="N5" s="29" t="n">
        <x:v>640</x:v>
      </x:c>
      <x:c r="O5" s="29" t="str"/>
      <x:c r="P5" s="29" t="str">
        <x:v>10.1246/bcsj.29.635</x:v>
      </x:c>
      <x:c r="Q5" s="30" t="e">
        <x:f>IF(LEN(P5)&gt;0,HYPERLINK("https://doi.org/"&amp;P5,"Open DOI"),"")</x:f>
        <x:v>HYPERLINK is not implemented. linkLocation=https://doi.org/10.1246/bcsj.29.635, friendlyName=Open DOI</x:v>
      </x:c>
      <x:c r="R5" s="29" t="str"/>
      <x:c r="S5" s="29" t="str">
        <x:v>WOS:A1956WJ96200020</x:v>
      </x:c>
      <x:c r="T5" s="29" t="str"/>
      <x:c r="U5" s="29" t="str"/>
      <x:c r="V5" s="29" t="str"/>
      <x:c r="W5" s="29" t="str"/>
    </x:row>
    <x:row r="6" ht="42" customHeight="1">
      <x:c r="A6" s="29" t="n">
        <x:v>5</x:v>
      </x:c>
      <x:c r="B6" s="29" t="n">
        <x:v>6</x:v>
      </x:c>
      <x:c r="C6" s="29" t="str">
        <x:v>J</x:v>
      </x:c>
      <x:c r="D6" s="29" t="str">
        <x:v>CERVEAU, G; CHUIT, C; CORRIU, RJP; REYE, C</x:v>
      </x:c>
      <x:c r="E6" s="29" t="str">
        <x:v>REACTIONS OF NUCLEOPHILIC-REAGENTS WITH DIANIONIC HEXACOORDINATED GERMANIUM COMPLEXES - A NEW CONVENIENT ROUTE TO FUNCTIONAL ORGANOGERMANES FROM GERMANIUM DIOXIDE</x:v>
      </x:c>
      <x:c r="F6" s="29" t="str">
        <x:v>ORGANOMETALLICS</x:v>
      </x:c>
      <x:c r="G6" s="29" t="str"/>
      <x:c r="H6" s="29" t="str"/>
      <x:c r="I6" s="29" t="str">
        <x:v>MAR</x:v>
      </x:c>
      <x:c r="J6" s="29" t="n">
        <x:v>1988</x:v>
      </x:c>
      <x:c r="K6" s="29" t="n">
        <x:v>7</x:v>
      </x:c>
      <x:c r="L6" s="29" t="n">
        <x:v>3</x:v>
      </x:c>
      <x:c r="M6" s="29" t="n">
        <x:v>786</x:v>
      </x:c>
      <x:c r="N6" s="29" t="n">
        <x:v>787</x:v>
      </x:c>
      <x:c r="O6" s="29" t="str"/>
      <x:c r="P6" s="29" t="str">
        <x:v>10.1021/om00093a038</x:v>
      </x:c>
      <x:c r="Q6" s="30" t="e">
        <x:f>IF(LEN(P6)&gt;0,HYPERLINK("https://doi.org/"&amp;P6,"Open DOI"),"")</x:f>
        <x:v>HYPERLINK is not implemented. linkLocation=https://doi.org/10.1021/om00093a038, friendlyName=Open DOI</x:v>
      </x:c>
      <x:c r="R6" s="29" t="str"/>
      <x:c r="S6" s="29" t="str">
        <x:v>WOS:A1988M491200038</x:v>
      </x:c>
      <x:c r="T6" s="29" t="str"/>
      <x:c r="U6" s="29" t="str"/>
      <x:c r="V6" s="29" t="str"/>
      <x:c r="W6" s="29" t="str"/>
    </x:row>
    <x:row r="7" ht="42" customHeight="1">
      <x:c r="A7" s="29" t="n">
        <x:v>6</x:v>
      </x:c>
      <x:c r="B7" s="29" t="n">
        <x:v>7</x:v>
      </x:c>
      <x:c r="C7" s="29" t="str">
        <x:v>J</x:v>
      </x:c>
      <x:c r="D7" s="29" t="str">
        <x:v>Carmalt, CJ; Clyburne, JAC; Cowley, AH; Lomeli, V; McBurnett, BG</x:v>
      </x:c>
      <x:c r="E7" s="29" t="str">
        <x:v>Germylene and stannylene cleavage of Lawesson's reagent</x:v>
      </x:c>
      <x:c r="F7" s="29" t="str">
        <x:v>CHEMICAL COMMUNICATIONS</x:v>
      </x:c>
      <x:c r="G7" s="29" t="str"/>
      <x:c r="H7" s="29" t="str"/>
      <x:c r="I7" s="29" t="str">
        <x:v>JAN 21</x:v>
      </x:c>
      <x:c r="J7" s="29" t="n">
        <x:v>1998</x:v>
      </x:c>
      <x:c r="K7" s="29" t="str"/>
      <x:c r="L7" s="29" t="n">
        <x:v>2</x:v>
      </x:c>
      <x:c r="M7" s="29" t="n">
        <x:v>243</x:v>
      </x:c>
      <x:c r="N7" s="29" t="n">
        <x:v>244</x:v>
      </x:c>
      <x:c r="O7" s="29" t="str"/>
      <x:c r="P7" s="29" t="str">
        <x:v>10.1039/a706097a</x:v>
      </x:c>
      <x:c r="Q7" s="30" t="e">
        <x:f>IF(LEN(P7)&gt;0,HYPERLINK("https://doi.org/"&amp;P7,"Open DOI"),"")</x:f>
        <x:v>HYPERLINK is not implemented. linkLocation=https://doi.org/10.1039/a706097a, friendlyName=Open DOI</x:v>
      </x:c>
      <x:c r="R7" s="29" t="str"/>
      <x:c r="S7" s="29" t="str">
        <x:v>WOS:000071788200039</x:v>
      </x:c>
      <x:c r="T7" s="29" t="str"/>
      <x:c r="U7" s="29" t="str"/>
      <x:c r="V7" s="29" t="str"/>
      <x:c r="W7" s="29" t="str"/>
    </x:row>
    <x:row r="8" ht="42" customHeight="1">
      <x:c r="A8" s="29" t="n">
        <x:v>7</x:v>
      </x:c>
      <x:c r="B8" s="29" t="n">
        <x:v>8</x:v>
      </x:c>
      <x:c r="C8" s="29" t="str">
        <x:v>J</x:v>
      </x:c>
      <x:c r="D8" s="29" t="str">
        <x:v>Xue, WC; Mao, WB; Zhang, LL; Oestreich, M</x:v>
      </x:c>
      <x:c r="E8" s="29" t="str">
        <x:v>Mechanistic Dichotomy of Magnesium- and Zinc-Based Germanium Nucleophiles in the C(sp3)-Ge Cross-Coupling with Alkyl Electrophiles</x:v>
      </x:c>
      <x:c r="F8" s="29" t="str">
        <x:v>ANGEWANDTE CHEMIE-INTERNATIONAL EDITION</x:v>
      </x:c>
      <x:c r="G8" s="29" t="str"/>
      <x:c r="H8" s="29" t="str"/>
      <x:c r="I8" s="29" t="str">
        <x:v>MAY 6</x:v>
      </x:c>
      <x:c r="J8" s="29" t="n">
        <x:v>2019</x:v>
      </x:c>
      <x:c r="K8" s="29" t="n">
        <x:v>58</x:v>
      </x:c>
      <x:c r="L8" s="29" t="n">
        <x:v>19</x:v>
      </x:c>
      <x:c r="M8" s="29" t="n">
        <x:v>6440</x:v>
      </x:c>
      <x:c r="N8" s="29" t="n">
        <x:v>6443</x:v>
      </x:c>
      <x:c r="O8" s="29" t="str"/>
      <x:c r="P8" s="29" t="str">
        <x:v>10.1002/anie.201901860</x:v>
      </x:c>
      <x:c r="Q8" s="30" t="e">
        <x:f>IF(LEN(P8)&gt;0,HYPERLINK("https://doi.org/"&amp;P8,"Open DOI"),"")</x:f>
        <x:v>HYPERLINK is not implemented. linkLocation=https://doi.org/10.1002/anie.201901860, friendlyName=Open DOI</x:v>
      </x:c>
      <x:c r="R8" s="29" t="n">
        <x:v>30839143</x:v>
      </x:c>
      <x:c r="S8" s="29" t="str">
        <x:v>WOS:000471976400055</x:v>
      </x:c>
      <x:c r="T8" s="29" t="str"/>
      <x:c r="U8" s="29" t="str"/>
      <x:c r="V8" s="29" t="str"/>
      <x:c r="W8" s="29" t="str"/>
    </x:row>
    <x:row r="9" ht="42" customHeight="1">
      <x:c r="A9" s="29" t="n">
        <x:v>8</x:v>
      </x:c>
      <x:c r="B9" s="29" t="n">
        <x:v>9</x:v>
      </x:c>
      <x:c r="C9" s="29" t="str">
        <x:v>J</x:v>
      </x:c>
      <x:c r="D9" s="29" t="str">
        <x:v>Schlecht, S</x:v>
      </x:c>
      <x:c r="E9" s="29" t="str">
        <x:v>Selective direct synthesis of organofunctionalized dialkylgermanes from solvochemically activated germanium</x:v>
      </x:c>
      <x:c r="F9" s="29" t="str">
        <x:v>ANGEWANDTE CHEMIE-INTERNATIONAL EDITION</x:v>
      </x:c>
      <x:c r="G9" s="29" t="str"/>
      <x:c r="H9" s="29" t="str"/>
      <x:c r="I9" s="29" t="str"/>
      <x:c r="J9" s="29" t="n">
        <x:v>2002</x:v>
      </x:c>
      <x:c r="K9" s="29" t="n">
        <x:v>41</x:v>
      </x:c>
      <x:c r="L9" s="29" t="n">
        <x:v>7</x:v>
      </x:c>
      <x:c r="M9" s="29" t="n">
        <x:v>1178</x:v>
      </x:c>
      <x:c r="N9" s="29" t="str">
        <x:v>+</x:v>
      </x:c>
      <x:c r="O9" s="29" t="str"/>
      <x:c r="P9" s="29" t="str">
        <x:v>10.1002/1521-3773(20020402)41:7&lt;1178::AID-ANIE1178&gt;3.0.CO;2-7</x:v>
      </x:c>
      <x:c r="Q9" s="30" t="e">
        <x:f>IF(LEN(P9)&gt;0,HYPERLINK("https://doi.org/"&amp;P9,"Open DOI"),"")</x:f>
        <x:v>HYPERLINK is not implemented. linkLocation=https://doi.org/10.1002/1521-3773(20020402)41:7&lt;1178::AID-ANIE1178&gt;3.0.CO;2-7, friendlyName=Open DOI</x:v>
      </x:c>
      <x:c r="R9" s="29" t="n">
        <x:v>12491251</x:v>
      </x:c>
      <x:c r="S9" s="29" t="str">
        <x:v>WOS:000174812400013</x:v>
      </x:c>
      <x:c r="T9" s="29" t="str"/>
      <x:c r="U9" s="29" t="str"/>
      <x:c r="V9" s="29" t="str"/>
      <x:c r="W9" s="29" t="str"/>
    </x:row>
    <x:row r="10" ht="42" customHeight="1">
      <x:c r="A10" s="29" t="n">
        <x:v>9</x:v>
      </x:c>
      <x:c r="B10" s="29" t="n">
        <x:v>10</x:v>
      </x:c>
      <x:c r="C10" s="29" t="str">
        <x:v>J</x:v>
      </x:c>
      <x:c r="D10" s="29" t="str">
        <x:v>Nishino, R; Tokitoh, N; Sasayama, R; Waterman, R; Mizuhata, Y</x:v>
      </x:c>
      <x:c r="E10" s="29" t="str">
        <x:v>Unusual nuclear exchange within a germanium-containing aromatic ring that results in germanium atom transfer</x:v>
      </x:c>
      <x:c r="F10" s="29" t="str">
        <x:v>NATURE COMMUNICATIONS</x:v>
      </x:c>
      <x:c r="G10" s="29" t="str"/>
      <x:c r="H10" s="29" t="str"/>
      <x:c r="I10" s="29" t="str">
        <x:v>JUL 28</x:v>
      </x:c>
      <x:c r="J10" s="29" t="n">
        <x:v>2023</x:v>
      </x:c>
      <x:c r="K10" s="29" t="n">
        <x:v>14</x:v>
      </x:c>
      <x:c r="L10" s="29" t="n">
        <x:v>1</x:v>
      </x:c>
      <x:c r="M10" s="29" t="str"/>
      <x:c r="N10" s="29" t="str"/>
      <x:c r="O10" s="29" t="n">
        <x:v>4519</x:v>
      </x:c>
      <x:c r="P10" s="29" t="str">
        <x:v>10.1038/s41467-023-40188-y</x:v>
      </x:c>
      <x:c r="Q10" s="30" t="e">
        <x:f>IF(LEN(P10)&gt;0,HYPERLINK("https://doi.org/"&amp;P10,"Open DOI"),"")</x:f>
        <x:v>HYPERLINK is not implemented. linkLocation=https://doi.org/10.1038/s41467-023-40188-y, friendlyName=Open DOI</x:v>
      </x:c>
      <x:c r="R10" s="29" t="n">
        <x:v>37507362</x:v>
      </x:c>
      <x:c r="S10" s="29" t="str">
        <x:v>WOS:001040551400007</x:v>
      </x:c>
      <x:c r="T10" s="29" t="str"/>
      <x:c r="U10" s="29" t="str"/>
      <x:c r="V10" s="29" t="str"/>
      <x:c r="W10" s="29" t="str"/>
    </x:row>
    <x:row r="11" ht="42" customHeight="1">
      <x:c r="A11" s="29" t="n">
        <x:v>10</x:v>
      </x:c>
      <x:c r="B11" s="29" t="n">
        <x:v>11</x:v>
      </x:c>
      <x:c r="C11" s="29" t="str">
        <x:v>J</x:v>
      </x:c>
      <x:c r="D11" s="29" t="str">
        <x:v>Whitham, PJ; Strommen, DP; Lundell, S; Lau, LD; Rodriguez, R</x:v>
      </x:c>
      <x:c r="E11" s="29" t="str">
        <x:v>GeS2 and GeSe2 PECVD from GeCl4 and Various Chalcogenide Precursors</x:v>
      </x:c>
      <x:c r="F11" s="29" t="str">
        <x:v>PLASMA CHEMISTRY AND PLASMA PROCESSING</x:v>
      </x:c>
      <x:c r="G11" s="29" t="str"/>
      <x:c r="H11" s="29" t="str"/>
      <x:c r="I11" s="29" t="str">
        <x:v>JUL</x:v>
      </x:c>
      <x:c r="J11" s="29" t="n">
        <x:v>2014</x:v>
      </x:c>
      <x:c r="K11" s="29" t="n">
        <x:v>34</x:v>
      </x:c>
      <x:c r="L11" s="29" t="n">
        <x:v>4</x:v>
      </x:c>
      <x:c r="M11" s="29" t="n">
        <x:v>755</x:v>
      </x:c>
      <x:c r="N11" s="29" t="n">
        <x:v>766</x:v>
      </x:c>
      <x:c r="O11" s="29" t="str"/>
      <x:c r="P11" s="29" t="str">
        <x:v>10.1007/s11090-014-9542-4</x:v>
      </x:c>
      <x:c r="Q11" s="30" t="e">
        <x:f>IF(LEN(P11)&gt;0,HYPERLINK("https://doi.org/"&amp;P11,"Open DOI"),"")</x:f>
        <x:v>HYPERLINK is not implemented. linkLocation=https://doi.org/10.1007/s11090-014-9542-4, friendlyName=Open DOI</x:v>
      </x:c>
      <x:c r="R11" s="29" t="str"/>
      <x:c r="S11" s="29" t="str">
        <x:v>WOS:000338318400005</x:v>
      </x:c>
      <x:c r="T11" s="29" t="str"/>
      <x:c r="U11" s="29" t="str"/>
      <x:c r="V11" s="29" t="str"/>
      <x:c r="W11" s="29" t="str"/>
    </x:row>
    <x:row r="12" ht="42" customHeight="1">
      <x:c r="A12" s="29" t="n">
        <x:v>11</x:v>
      </x:c>
      <x:c r="B12" s="29" t="n">
        <x:v>12</x:v>
      </x:c>
      <x:c r="C12" s="29" t="str">
        <x:v>J</x:v>
      </x:c>
      <x:c r="D12" s="29" t="str">
        <x:v>Li, ZJ; Jian, T; Liu, HZ; Zhou, X; Yuan, R</x:v>
      </x:c>
      <x:c r="E12" s="29" t="str">
        <x:v>Determination of trace amounts of germanium in food and fruit by spectrophotometry with p-methybenzeneazosalicylflurone</x:v>
      </x:c>
      <x:c r="F12" s="29" t="str">
        <x:v>JOURNAL OF FOOD COMPOSITION AND ANALYSIS</x:v>
      </x:c>
      <x:c r="G12" s="29" t="str"/>
      <x:c r="H12" s="29" t="str"/>
      <x:c r="I12" s="29" t="str">
        <x:v>FEB</x:v>
      </x:c>
      <x:c r="J12" s="29" t="n">
        <x:v>2007</x:v>
      </x:c>
      <x:c r="K12" s="29" t="n">
        <x:v>20</x:v>
      </x:c>
      <x:c r="L12" s="29" t="n">
        <x:v>1</x:v>
      </x:c>
      <x:c r="M12" s="29" t="n">
        <x:v>1</x:v>
      </x:c>
      <x:c r="N12" s="29" t="n">
        <x:v>6</x:v>
      </x:c>
      <x:c r="O12" s="29" t="str"/>
      <x:c r="P12" s="29" t="str">
        <x:v>10.1016/j.jfca.2006.04.009</x:v>
      </x:c>
      <x:c r="Q12" s="30" t="e">
        <x:f>IF(LEN(P12)&gt;0,HYPERLINK("https://doi.org/"&amp;P12,"Open DOI"),"")</x:f>
        <x:v>HYPERLINK is not implemented. linkLocation=https://doi.org/10.1016/j.jfca.2006.04.009, friendlyName=Open DOI</x:v>
      </x:c>
      <x:c r="R12" s="29" t="str"/>
      <x:c r="S12" s="29" t="str">
        <x:v>WOS:000242469500001</x:v>
      </x:c>
      <x:c r="T12" s="29" t="str"/>
      <x:c r="U12" s="29" t="str"/>
      <x:c r="V12" s="29" t="str"/>
      <x:c r="W12" s="29" t="str"/>
    </x:row>
    <x:row r="13" ht="42" customHeight="1">
      <x:c r="A13" s="29" t="n">
        <x:v>12</x:v>
      </x:c>
      <x:c r="B13" s="29" t="n">
        <x:v>13</x:v>
      </x:c>
      <x:c r="C13" s="29" t="str">
        <x:v>J</x:v>
      </x:c>
      <x:c r="D13" s="29" t="str">
        <x:v>[Anonymous]</x:v>
      </x:c>
      <x:c r="E13" s="29" t="str">
        <x:v>ETCHING OF ABRADED GERMANIUM SURFACES WITH CP-4 REAGENT</x:v>
      </x:c>
      <x:c r="F13" s="29" t="str">
        <x:v>JOURNAL OF THE ELECTROCHEMICAL SOCIETY</x:v>
      </x:c>
      <x:c r="G13" s="29" t="str"/>
      <x:c r="H13" s="29" t="str"/>
      <x:c r="I13" s="29" t="str"/>
      <x:c r="J13" s="29" t="n">
        <x:v>1962</x:v>
      </x:c>
      <x:c r="K13" s="29" t="n">
        <x:v>109</x:v>
      </x:c>
      <x:c r="L13" s="29" t="n">
        <x:v>12</x:v>
      </x:c>
      <x:c r="M13" s="29" t="n">
        <x:v>1220</x:v>
      </x:c>
      <x:c r="N13" s="29" t="n">
        <x:v>1221</x:v>
      </x:c>
      <x:c r="O13" s="29" t="str"/>
      <x:c r="P13" s="29" t="str"/>
      <x:c r="Q13" s="30" t="str">
        <x:f>IF(LEN(P13)&gt;0,HYPERLINK("https://doi.org/"&amp;P13,"Open DOI"),"")</x:f>
      </x:c>
      <x:c r="R13" s="29" t="str"/>
      <x:c r="S13" s="29" t="str">
        <x:v>WOS:A1962WG28200034</x:v>
      </x:c>
      <x:c r="T13" s="29" t="str"/>
      <x:c r="U13" s="29" t="str"/>
      <x:c r="V13" s="29" t="str">
        <x:v>Yes</x:v>
      </x:c>
      <x:c r="W13" s="29" t="str"/>
    </x:row>
    <x:row r="14" ht="42" customHeight="1">
      <x:c r="A14" s="29" t="n">
        <x:v>13</x:v>
      </x:c>
      <x:c r="B14" s="29" t="n">
        <x:v>14</x:v>
      </x:c>
      <x:c r="C14" s="29" t="str">
        <x:v>J</x:v>
      </x:c>
      <x:c r="D14" s="29" t="str">
        <x:v>PUGH, EN; SAMUELS, LE</x:v>
      </x:c>
      <x:c r="E14" s="29" t="str">
        <x:v>ETCHING OF ABRADED GERMANIUM SURFACES WITH CP-4 REAGENT</x:v>
      </x:c>
      <x:c r="F14" s="29" t="str">
        <x:v>JOURNAL OF THE ELECTROCHEMICAL SOCIETY</x:v>
      </x:c>
      <x:c r="G14" s="29" t="str"/>
      <x:c r="H14" s="29" t="str"/>
      <x:c r="I14" s="29" t="str"/>
      <x:c r="J14" s="29" t="n">
        <x:v>1962</x:v>
      </x:c>
      <x:c r="K14" s="29" t="n">
        <x:v>109</x:v>
      </x:c>
      <x:c r="L14" s="29" t="n">
        <x:v>5</x:v>
      </x:c>
      <x:c r="M14" s="29" t="n">
        <x:v>409</x:v>
      </x:c>
      <x:c r="N14" s="29" t="n">
        <x:v>412</x:v>
      </x:c>
      <x:c r="O14" s="29" t="str"/>
      <x:c r="P14" s="29" t="str">
        <x:v>10.1149/1.2425433</x:v>
      </x:c>
      <x:c r="Q14" s="30" t="e">
        <x:f>IF(LEN(P14)&gt;0,HYPERLINK("https://doi.org/"&amp;P14,"Open DOI"),"")</x:f>
        <x:v>HYPERLINK is not implemented. linkLocation=https://doi.org/10.1149/1.2425433, friendlyName=Open DOI</x:v>
      </x:c>
      <x:c r="R14" s="29" t="str"/>
      <x:c r="S14" s="29" t="str">
        <x:v>WOS:A1962WG27500013</x:v>
      </x:c>
      <x:c r="T14" s="29" t="str"/>
      <x:c r="U14" s="29" t="str"/>
      <x:c r="V14" s="29" t="str">
        <x:v>Yes</x:v>
      </x:c>
      <x:c r="W14" s="29" t="str"/>
    </x:row>
    <x:row r="15" ht="42" customHeight="1">
      <x:c r="A15" s="29" t="n">
        <x:v>14</x:v>
      </x:c>
      <x:c r="B15" s="29" t="n">
        <x:v>15</x:v>
      </x:c>
      <x:c r="C15" s="29" t="str">
        <x:v>J</x:v>
      </x:c>
      <x:c r="D15" s="29" t="str">
        <x:v>RAJU, NA; RAO, GG</x:v>
      </x:c>
      <x:c r="E15" s="29" t="str">
        <x:v>BENZOIN AS A FLUORESCENT REAGENT FOR THE DETECTION OF GERMANIUM</x:v>
      </x:c>
      <x:c r="F15" s="29" t="str">
        <x:v>NATURE</x:v>
      </x:c>
      <x:c r="G15" s="29" t="str"/>
      <x:c r="H15" s="29" t="str"/>
      <x:c r="I15" s="29" t="str"/>
      <x:c r="J15" s="29" t="n">
        <x:v>1955</x:v>
      </x:c>
      <x:c r="K15" s="29" t="n">
        <x:v>175</x:v>
      </x:c>
      <x:c r="L15" s="29" t="n">
        <x:v>4447</x:v>
      </x:c>
      <x:c r="M15" s="29" t="n">
        <x:v>167</x:v>
      </x:c>
      <x:c r="N15" s="29" t="n">
        <x:v>167</x:v>
      </x:c>
      <x:c r="O15" s="29" t="str"/>
      <x:c r="P15" s="29" t="str">
        <x:v>10.1038/175167a0</x:v>
      </x:c>
      <x:c r="Q15" s="30" t="e">
        <x:f>IF(LEN(P15)&gt;0,HYPERLINK("https://doi.org/"&amp;P15,"Open DOI"),"")</x:f>
        <x:v>HYPERLINK is not implemented. linkLocation=https://doi.org/10.1038/175167a0, friendlyName=Open DOI</x:v>
      </x:c>
      <x:c r="R15" s="29" t="n">
        <x:v>13235834</x:v>
      </x:c>
      <x:c r="S15" s="29" t="str">
        <x:v>WOS:A1955ZQ10700024</x:v>
      </x:c>
      <x:c r="T15" s="29" t="str"/>
      <x:c r="U15" s="29" t="str"/>
      <x:c r="V15" s="29" t="str"/>
      <x:c r="W15" s="29" t="str"/>
    </x:row>
    <x:row r="16" ht="42" customHeight="1">
      <x:c r="A16" s="29" t="n">
        <x:v>15</x:v>
      </x:c>
      <x:c r="B16" s="29" t="n">
        <x:v>16</x:v>
      </x:c>
      <x:c r="C16" s="29" t="str">
        <x:v>J</x:v>
      </x:c>
      <x:c r="D16" s="29" t="str">
        <x:v>ALLRED, AL; POSKOZIM, PS; WORKMAN, MO</x:v>
      </x:c>
      <x:c r="E16" s="29" t="str">
        <x:v>ON PREPARATION OF TRICHLOROGERMYLLITHIUM FROM GERMANIUM TETRACHLORIDE AND ORGANOLITHIUM REAGENTS</x:v>
      </x:c>
      <x:c r="F16" s="29" t="str">
        <x:v>JOURNAL OF INORGANIC &amp; NUCLEAR CHEMISTRY</x:v>
      </x:c>
      <x:c r="G16" s="29" t="str"/>
      <x:c r="H16" s="29" t="str"/>
      <x:c r="I16" s="29" t="str"/>
      <x:c r="J16" s="29" t="n">
        <x:v>1968</x:v>
      </x:c>
      <x:c r="K16" s="29" t="n">
        <x:v>30</x:v>
      </x:c>
      <x:c r="L16" s="29" t="n">
        <x:v>5</x:v>
      </x:c>
      <x:c r="M16" s="29" t="n">
        <x:v>1325</x:v>
      </x:c>
      <x:c r="N16" s="29" t="str">
        <x:v>&amp;</x:v>
      </x:c>
      <x:c r="O16" s="29" t="str"/>
      <x:c r="P16" s="29" t="str">
        <x:v>10.1016/0022-1902(68)80563-9</x:v>
      </x:c>
      <x:c r="Q16" s="30" t="e">
        <x:f>IF(LEN(P16)&gt;0,HYPERLINK("https://doi.org/"&amp;P16,"Open DOI"),"")</x:f>
        <x:v>HYPERLINK is not implemented. linkLocation=https://doi.org/10.1016/0022-1902(68)80563-9, friendlyName=Open DOI</x:v>
      </x:c>
      <x:c r="R16" s="29" t="str"/>
      <x:c r="S16" s="29" t="str">
        <x:v>WOS:A1968B430300030</x:v>
      </x:c>
      <x:c r="T16" s="29" t="str"/>
      <x:c r="U16" s="29" t="str"/>
      <x:c r="V16" s="29" t="str"/>
      <x:c r="W16" s="29" t="str"/>
    </x:row>
    <x:row r="17" ht="42" customHeight="1">
      <x:c r="A17" s="29" t="n">
        <x:v>16</x:v>
      </x:c>
      <x:c r="B17" s="29" t="n">
        <x:v>17</x:v>
      </x:c>
      <x:c r="C17" s="29" t="str">
        <x:v>J</x:v>
      </x:c>
      <x:c r="D17" s="29" t="str">
        <x:v>NAZARENKO, VA; ANTONOVICH, VP; SUVOROVA, EN; GOLIK, NN</x:v>
      </x:c>
      <x:c r="E17" s="29" t="str">
        <x:v>TETRABROMSALICYLFLUORON - A NEW SELECTIVE REAGENT FOR PHOTOMETRIC-DETERMINATION OF GERMANIUM</x:v>
      </x:c>
      <x:c r="F17" s="29" t="str">
        <x:v>DOPOVIDI AKADEMII NAUK UKRAINSKOI RSR SERIYA B-GEOLOGICHNI KHIMICHNI TA BIOLOGICHNI NAUKI</x:v>
      </x:c>
      <x:c r="G17" s="29" t="str"/>
      <x:c r="H17" s="29" t="str"/>
      <x:c r="I17" s="29" t="str"/>
      <x:c r="J17" s="29" t="n">
        <x:v>1984</x:v>
      </x:c>
      <x:c r="K17" s="29" t="str"/>
      <x:c r="L17" s="29" t="n">
        <x:v>10</x:v>
      </x:c>
      <x:c r="M17" s="29" t="n">
        <x:v>44</x:v>
      </x:c>
      <x:c r="N17" s="29" t="n">
        <x:v>46</x:v>
      </x:c>
      <x:c r="O17" s="29" t="str"/>
      <x:c r="P17" s="29" t="str"/>
      <x:c r="Q17" s="30" t="str">
        <x:f>IF(LEN(P17)&gt;0,HYPERLINK("https://doi.org/"&amp;P17,"Open DOI"),"")</x:f>
      </x:c>
      <x:c r="R17" s="29" t="str"/>
      <x:c r="S17" s="29" t="str">
        <x:v>WOS:A1984TQ32500015</x:v>
      </x:c>
      <x:c r="T17" s="29" t="str"/>
      <x:c r="U17" s="29" t="str"/>
      <x:c r="V17" s="29" t="str"/>
      <x:c r="W17" s="29" t="str"/>
    </x:row>
    <x:row r="18" ht="42" customHeight="1">
      <x:c r="A18" s="29" t="n">
        <x:v>17</x:v>
      </x:c>
      <x:c r="B18" s="29" t="n">
        <x:v>18</x:v>
      </x:c>
      <x:c r="C18" s="29" t="str">
        <x:v>J</x:v>
      </x:c>
      <x:c r="D18" s="29" t="str">
        <x:v>CORRIU, RJP; GUERIN, C</x:v>
      </x:c>
      <x:c r="E18" s="29" t="str">
        <x:v>ALKALI-METAL HYDRIDES - NEW METALLATING REAGENTS FOR GERMANIUM AND TIN</x:v>
      </x:c>
      <x:c r="F18" s="29" t="str">
        <x:v>JOURNAL OF ORGANOMETALLIC CHEMISTRY</x:v>
      </x:c>
      <x:c r="G18" s="29" t="str"/>
      <x:c r="H18" s="29" t="str"/>
      <x:c r="I18" s="29" t="str"/>
      <x:c r="J18" s="29" t="n">
        <x:v>1980</x:v>
      </x:c>
      <x:c r="K18" s="29" t="n">
        <x:v>197</x:v>
      </x:c>
      <x:c r="L18" s="29" t="n">
        <x:v>3</x:v>
      </x:c>
      <x:c r="M18" s="29" t="str">
        <x:v>C19</x:v>
      </x:c>
      <x:c r="N18" s="29" t="str">
        <x:v>C21</x:v>
      </x:c>
      <x:c r="O18" s="29" t="str"/>
      <x:c r="P18" s="29" t="str">
        <x:v>10.1016/S0022-328X(00)84692-6</x:v>
      </x:c>
      <x:c r="Q18" s="30" t="e">
        <x:f>IF(LEN(P18)&gt;0,HYPERLINK("https://doi.org/"&amp;P18,"Open DOI"),"")</x:f>
        <x:v>HYPERLINK is not implemented. linkLocation=https://doi.org/10.1016/S0022-328X(00)84692-6, friendlyName=Open DOI</x:v>
      </x:c>
      <x:c r="R18" s="29" t="str"/>
      <x:c r="S18" s="29" t="str">
        <x:v>WOS:A1980KH31500015</x:v>
      </x:c>
      <x:c r="T18" s="29" t="str"/>
      <x:c r="U18" s="29" t="str"/>
      <x:c r="V18" s="29" t="str"/>
      <x:c r="W18" s="29" t="str"/>
    </x:row>
    <x:row r="19" ht="42" customHeight="1">
      <x:c r="A19" s="29" t="n">
        <x:v>18</x:v>
      </x:c>
      <x:c r="B19" s="29" t="n">
        <x:v>19</x:v>
      </x:c>
      <x:c r="C19" s="29" t="str">
        <x:v>J</x:v>
      </x:c>
      <x:c r="D19" s="29" t="str">
        <x:v>KORYUKOV.VP; OLEINIK, LK; ANDRIANO.AM</x:v>
      </x:c>
      <x:c r="E19" s="29" t="str">
        <x:v>HOW TIRON IS A REAGENT FOR COMPLEX-METRIC IDENTIFICATION OF GERMANIUM</x:v>
      </x:c>
      <x:c r="F19" s="29" t="str">
        <x:v>ZAVODSKAYA LABORATORIYA</x:v>
      </x:c>
      <x:c r="G19" s="29" t="str"/>
      <x:c r="H19" s="29" t="str"/>
      <x:c r="I19" s="29" t="str"/>
      <x:c r="J19" s="29" t="n">
        <x:v>1973</x:v>
      </x:c>
      <x:c r="K19" s="29" t="str"/>
      <x:c r="L19" s="29" t="n">
        <x:v>1</x:v>
      </x:c>
      <x:c r="M19" s="29" t="n">
        <x:v>20</x:v>
      </x:c>
      <x:c r="N19" s="29" t="n">
        <x:v>21</x:v>
      </x:c>
      <x:c r="O19" s="29" t="str"/>
      <x:c r="P19" s="29" t="str"/>
      <x:c r="Q19" s="30" t="str">
        <x:f>IF(LEN(P19)&gt;0,HYPERLINK("https://doi.org/"&amp;P19,"Open DOI"),"")</x:f>
      </x:c>
      <x:c r="R19" s="29" t="str"/>
      <x:c r="S19" s="29" t="str">
        <x:v>WOS:A1973O608700014</x:v>
      </x:c>
      <x:c r="T19" s="29" t="str"/>
      <x:c r="U19" s="29" t="str"/>
      <x:c r="V19" s="29" t="str"/>
      <x:c r="W19" s="29" t="str"/>
    </x:row>
    <x:row r="20" ht="42" customHeight="1">
      <x:c r="A20" s="29" t="n">
        <x:v>19</x:v>
      </x:c>
      <x:c r="B20" s="29" t="n">
        <x:v>20</x:v>
      </x:c>
      <x:c r="C20" s="29" t="str">
        <x:v>J</x:v>
      </x:c>
      <x:c r="D20" s="29" t="str">
        <x:v>NAZARENKO, VA; LEBEDEVA, NV</x:v>
      </x:c>
      <x:c r="E20" s="29" t="str">
        <x:v>THE USE OF TRIHYDROXYFLUORONE DERIVATIVES IN COLORIMETRIC ANALYSIS - REAGENTS FOR GERMANIUM</x:v>
      </x:c>
      <x:c r="F20" s="29" t="str">
        <x:v>INDUSTRIAL LABORATORY</x:v>
      </x:c>
      <x:c r="G20" s="29" t="str"/>
      <x:c r="H20" s="29" t="str"/>
      <x:c r="I20" s="29" t="str"/>
      <x:c r="J20" s="29" t="n">
        <x:v>1959</x:v>
      </x:c>
      <x:c r="K20" s="29" t="n">
        <x:v>25</x:v>
      </x:c>
      <x:c r="L20" s="29" t="n">
        <x:v>8</x:v>
      </x:c>
      <x:c r="M20" s="29" t="n">
        <x:v>934</x:v>
      </x:c>
      <x:c r="N20" s="29" t="n">
        <x:v>938</x:v>
      </x:c>
      <x:c r="O20" s="29" t="str"/>
      <x:c r="P20" s="29" t="str"/>
      <x:c r="Q20" s="30" t="str">
        <x:f>IF(LEN(P20)&gt;0,HYPERLINK("https://doi.org/"&amp;P20,"Open DOI"),"")</x:f>
      </x:c>
      <x:c r="R20" s="29" t="str"/>
      <x:c r="S20" s="29" t="str">
        <x:v>WOS:A1959WX90800002</x:v>
      </x:c>
      <x:c r="T20" s="29" t="str"/>
      <x:c r="U20" s="29" t="str"/>
      <x:c r="V20" s="29" t="str"/>
      <x:c r="W20" s="29" t="str"/>
    </x:row>
    <x:row r="21" ht="42" customHeight="1">
      <x:c r="A21" s="29" t="n">
        <x:v>20</x:v>
      </x:c>
      <x:c r="B21" s="29" t="n">
        <x:v>21</x:v>
      </x:c>
      <x:c r="C21" s="29" t="str">
        <x:v>J</x:v>
      </x:c>
      <x:c r="D21" s="29" t="str">
        <x:v>Pescara, B; Mazzio, K; Lips, K; Raoux, S</x:v>
      </x:c>
      <x:c r="E21" s="29" t="str">
        <x:v>Crystallinity and size control of colloidal germanium nanoparticles from organogermanium halide reagents</x:v>
      </x:c>
      <x:c r="F21" s="29" t="str">
        <x:v>ABSTRACTS OF PAPERS OF THE AMERICAN CHEMICAL SOCIETY</x:v>
      </x:c>
      <x:c r="G21" s="29" t="str"/>
      <x:c r="H21" s="29" t="str"/>
      <x:c r="I21" s="29" t="str">
        <x:v>AUG 25</x:v>
      </x:c>
      <x:c r="J21" s="29" t="n">
        <x:v>2019</x:v>
      </x:c>
      <x:c r="K21" s="29" t="n">
        <x:v>258</x:v>
      </x:c>
      <x:c r="L21" s="29" t="str"/>
      <x:c r="M21" s="29" t="str"/>
      <x:c r="N21" s="29" t="str"/>
      <x:c r="O21" s="29" t="str"/>
      <x:c r="P21" s="29" t="str"/>
      <x:c r="Q21" s="30" t="str">
        <x:f>IF(LEN(P21)&gt;0,HYPERLINK("https://doi.org/"&amp;P21,"Open DOI"),"")</x:f>
      </x:c>
      <x:c r="R21" s="29" t="str"/>
      <x:c r="S21" s="29" t="str">
        <x:v>WOS:000525061501706</x:v>
      </x:c>
      <x:c r="T21" s="29" t="str"/>
      <x:c r="U21" s="29" t="str"/>
      <x:c r="V21" s="29" t="str"/>
      <x:c r="W21" s="29" t="str"/>
    </x:row>
    <x:row r="22" ht="42" customHeight="1">
      <x:c r="A22" s="29" t="n">
        <x:v>21</x:v>
      </x:c>
      <x:c r="B22" s="29" t="n">
        <x:v>22</x:v>
      </x:c>
      <x:c r="C22" s="29" t="str">
        <x:v>J</x:v>
      </x:c>
      <x:c r="D22" s="29" t="str">
        <x:v>NAZARENKO, VA; VINAROVA, LI; LEBEDEVA, NV; LJAKH, RA</x:v>
      </x:c>
      <x:c r="E22" s="29" t="str">
        <x:v>4-NITROPYROCATECHOL AND BRILLIANT GREEN AS REAGENTS FOR EXTRACTION-PHOTOMETRIC DETERMINATION OF GERMANIUM</x:v>
      </x:c>
      <x:c r="F22" s="29" t="str">
        <x:v>UKRAINSKII KHIMICHESKII ZHURNAL</x:v>
      </x:c>
      <x:c r="G22" s="29" t="str"/>
      <x:c r="H22" s="29" t="str"/>
      <x:c r="I22" s="29" t="str"/>
      <x:c r="J22" s="29" t="n">
        <x:v>1977</x:v>
      </x:c>
      <x:c r="K22" s="29" t="n">
        <x:v>43</x:v>
      </x:c>
      <x:c r="L22" s="29" t="n">
        <x:v>12</x:v>
      </x:c>
      <x:c r="M22" s="29" t="n">
        <x:v>1325</x:v>
      </x:c>
      <x:c r="N22" s="29" t="n">
        <x:v>1327</x:v>
      </x:c>
      <x:c r="O22" s="29" t="str"/>
      <x:c r="P22" s="29" t="str"/>
      <x:c r="Q22" s="30" t="str">
        <x:f>IF(LEN(P22)&gt;0,HYPERLINK("https://doi.org/"&amp;P22,"Open DOI"),"")</x:f>
      </x:c>
      <x:c r="R22" s="29" t="str"/>
      <x:c r="S22" s="29" t="str">
        <x:v>WOS:A1977EQ37100026</x:v>
      </x:c>
      <x:c r="T22" s="29" t="str"/>
      <x:c r="U22" s="29" t="str"/>
      <x:c r="V22" s="29" t="str"/>
      <x:c r="W22" s="29" t="str"/>
    </x:row>
    <x:row r="23" ht="42" customHeight="1">
      <x:c r="A23" s="29" t="n">
        <x:v>22</x:v>
      </x:c>
      <x:c r="B23" s="29" t="n">
        <x:v>23</x:v>
      </x:c>
      <x:c r="C23" s="29" t="str">
        <x:v>J</x:v>
      </x:c>
      <x:c r="D23" s="29" t="str">
        <x:v>WARDELL, JL; TAYLOR, RD; LILLIE, TJ</x:v>
      </x:c>
      <x:c r="E23" s="29" t="str">
        <x:v>GROUP-IVB ORGANOMETALLIC SULPHIDES .3. CLEAVAGE OF GERMANIUM-SULPHUR BOND BY ELECTROPHILIC REAGENTS</x:v>
      </x:c>
      <x:c r="F23" s="29" t="str">
        <x:v>JOURNAL OF ORGANOMETALLIC CHEMISTRY</x:v>
      </x:c>
      <x:c r="G23" s="29" t="str"/>
      <x:c r="H23" s="29" t="str"/>
      <x:c r="I23" s="29" t="str"/>
      <x:c r="J23" s="29" t="n">
        <x:v>1971</x:v>
      </x:c>
      <x:c r="K23" s="29" t="n">
        <x:v>33</x:v>
      </x:c>
      <x:c r="L23" s="29" t="n">
        <x:v>1</x:v>
      </x:c>
      <x:c r="M23" s="29" t="n">
        <x:v>25</x:v>
      </x:c>
      <x:c r="N23" s="29" t="str">
        <x:v>&amp;</x:v>
      </x:c>
      <x:c r="O23" s="29" t="str"/>
      <x:c r="P23" s="29" t="str">
        <x:v>10.1016/S0022-328X(00)80799-8</x:v>
      </x:c>
      <x:c r="Q23" s="30" t="e">
        <x:f>IF(LEN(P23)&gt;0,HYPERLINK("https://doi.org/"&amp;P23,"Open DOI"),"")</x:f>
        <x:v>HYPERLINK is not implemented. linkLocation=https://doi.org/10.1016/S0022-328X(00)80799-8, friendlyName=Open DOI</x:v>
      </x:c>
      <x:c r="R23" s="29" t="str"/>
      <x:c r="S23" s="29" t="str">
        <x:v>WOS:A1971K923100011</x:v>
      </x:c>
      <x:c r="T23" s="29" t="str"/>
      <x:c r="U23" s="29" t="str"/>
      <x:c r="V23" s="29" t="str"/>
      <x:c r="W23" s="29" t="str"/>
    </x:row>
    <x:row r="24" ht="42" customHeight="1">
      <x:c r="A24" s="29" t="n">
        <x:v>23</x:v>
      </x:c>
      <x:c r="B24" s="29" t="n">
        <x:v>24</x:v>
      </x:c>
      <x:c r="C24" s="29" t="str">
        <x:v>J</x:v>
      </x:c>
      <x:c r="D24" s="29" t="str">
        <x:v>CHARYKOV, AK; ALEKSANDROVA, EA; BOR, LA; OSIPOV, NN</x:v>
      </x:c>
      <x:c r="E24" s="29" t="str">
        <x:v>EXTRACTION-PHOTOMETRIC DETERMINATION OF GERMANIUM, THORIUM, AND URANIUM USING THE 2-REAGENT METHOD</x:v>
      </x:c>
      <x:c r="F24" s="29" t="str">
        <x:v>JOURNAL OF ANALYTICAL CHEMISTRY OF THE USSR</x:v>
      </x:c>
      <x:c r="G24" s="29" t="str"/>
      <x:c r="H24" s="29" t="str"/>
      <x:c r="I24" s="29" t="str">
        <x:v>OCT</x:v>
      </x:c>
      <x:c r="J24" s="29" t="n">
        <x:v>1989</x:v>
      </x:c>
      <x:c r="K24" s="29" t="n">
        <x:v>44</x:v>
      </x:c>
      <x:c r="L24" s="29" t="n">
        <x:v>10</x:v>
      </x:c>
      <x:c r="M24" s="29" t="n">
        <x:v>1442</x:v>
      </x:c>
      <x:c r="N24" s="29" t="n">
        <x:v>1446</x:v>
      </x:c>
      <x:c r="O24" s="29" t="str"/>
      <x:c r="P24" s="29" t="str"/>
      <x:c r="Q24" s="30" t="str">
        <x:f>IF(LEN(P24)&gt;0,HYPERLINK("https://doi.org/"&amp;P24,"Open DOI"),"")</x:f>
      </x:c>
      <x:c r="R24" s="29" t="str"/>
      <x:c r="S24" s="29" t="str">
        <x:v>WOS:A1989DH32100011</x:v>
      </x:c>
      <x:c r="T24" s="29" t="str"/>
      <x:c r="U24" s="29" t="str"/>
      <x:c r="V24" s="29" t="str"/>
      <x:c r="W24" s="29" t="str"/>
    </x:row>
    <x:row r="25" ht="42" customHeight="1">
      <x:c r="A25" s="29" t="n">
        <x:v>24</x:v>
      </x:c>
      <x:c r="B25" s="29" t="n">
        <x:v>25</x:v>
      </x:c>
      <x:c r="C25" s="29" t="str">
        <x:v>J</x:v>
      </x:c>
      <x:c r="D25" s="29" t="str">
        <x:v>LUCENACONDE, F; PRAT, L</x:v>
      </x:c>
      <x:c r="E25" s="29" t="str">
        <x:v>A NEW REAGENT FOR THE COLORIMETRIC AND SPECTROPHOTOMETRIC DETERMINATION OF PHOSPHORUS, ARSENIC AND GERMANIUM</x:v>
      </x:c>
      <x:c r="F25" s="29" t="str">
        <x:v>ANALYTICA CHIMICA ACTA</x:v>
      </x:c>
      <x:c r="G25" s="29" t="str"/>
      <x:c r="H25" s="29" t="str"/>
      <x:c r="I25" s="29" t="str"/>
      <x:c r="J25" s="29" t="n">
        <x:v>1957</x:v>
      </x:c>
      <x:c r="K25" s="29" t="n">
        <x:v>16</x:v>
      </x:c>
      <x:c r="L25" s="29" t="n">
        <x:v>5</x:v>
      </x:c>
      <x:c r="M25" s="29" t="n">
        <x:v>473</x:v>
      </x:c>
      <x:c r="N25" s="29" t="n">
        <x:v>479</x:v>
      </x:c>
      <x:c r="O25" s="29" t="str"/>
      <x:c r="P25" s="29" t="str">
        <x:v>10.1016/S0003-2670(00)89969-9</x:v>
      </x:c>
      <x:c r="Q25" s="30" t="e">
        <x:f>IF(LEN(P25)&gt;0,HYPERLINK("https://doi.org/"&amp;P25,"Open DOI"),"")</x:f>
        <x:v>HYPERLINK is not implemented. linkLocation=https://doi.org/10.1016/S0003-2670(00)89969-9, friendlyName=Open DOI</x:v>
      </x:c>
      <x:c r="R25" s="29" t="str"/>
      <x:c r="S25" s="29" t="str">
        <x:v>WOS:A1957WM06100015</x:v>
      </x:c>
      <x:c r="T25" s="29" t="str"/>
      <x:c r="U25" s="29" t="str"/>
      <x:c r="V25" s="29" t="str"/>
      <x:c r="W25" s="29" t="str"/>
    </x:row>
    <x:row r="26" ht="42" customHeight="1">
      <x:c r="A26" s="29" t="n">
        <x:v>25</x:v>
      </x:c>
      <x:c r="B26" s="29" t="n">
        <x:v>26</x:v>
      </x:c>
      <x:c r="C26" s="29" t="str">
        <x:v>J</x:v>
      </x:c>
      <x:c r="D26" s="29" t="str">
        <x:v>LUGOVOI, SV; ODUD, ZZ</x:v>
      </x:c>
      <x:c r="E26" s="29" t="str">
        <x:v>ANTIPYRINE DERIVATIVES AS REAGENTS FOR AMPEROMETRIC TITRATION OF HETEROPOLY COMPOUNDS .1. DETERMINATION OF GERMANIUM</x:v>
      </x:c>
      <x:c r="F26" s="29" t="str">
        <x:v>ZHURNAL ANALITICHESKOI KHIMII</x:v>
      </x:c>
      <x:c r="G26" s="29" t="str"/>
      <x:c r="H26" s="29" t="str"/>
      <x:c r="I26" s="29" t="str"/>
      <x:c r="J26" s="29" t="n">
        <x:v>1971</x:v>
      </x:c>
      <x:c r="K26" s="29" t="n">
        <x:v>26</x:v>
      </x:c>
      <x:c r="L26" s="29" t="n">
        <x:v>5</x:v>
      </x:c>
      <x:c r="M26" s="29" t="n">
        <x:v>993</x:v>
      </x:c>
      <x:c r="N26" s="29" t="str">
        <x:v>+</x:v>
      </x:c>
      <x:c r="O26" s="29" t="str"/>
      <x:c r="P26" s="29" t="str"/>
      <x:c r="Q26" s="30" t="str">
        <x:f>IF(LEN(P26)&gt;0,HYPERLINK("https://doi.org/"&amp;P26,"Open DOI"),"")</x:f>
      </x:c>
      <x:c r="R26" s="29" t="str"/>
      <x:c r="S26" s="29" t="str">
        <x:v>WOS:A1971J364400028</x:v>
      </x:c>
      <x:c r="T26" s="29" t="str"/>
      <x:c r="U26" s="29" t="str"/>
      <x:c r="V26" s="29" t="str"/>
      <x:c r="W26" s="29" t="str"/>
    </x:row>
    <x:row r="27" ht="42" customHeight="1">
      <x:c r="A27" s="29" t="n">
        <x:v>26</x:v>
      </x:c>
      <x:c r="B27" s="29" t="n">
        <x:v>27</x:v>
      </x:c>
      <x:c r="C27" s="29" t="str">
        <x:v>J</x:v>
      </x:c>
      <x:c r="D27" s="29" t="str">
        <x:v>EABORN, C; SIMPSON, P; HILL, REE</x:v>
      </x:c>
      <x:c r="E27" s="29" t="str">
        <x:v>ORGANOGERMANIUM COMPOUNDS .10. STEREOCHEMISTRY OF SUBSTITUTION AT GERMANIUM IN SOME REACTIONS WITH NUCLEOPHILIC REAGENTS</x:v>
      </x:c>
      <x:c r="F27" s="29" t="str">
        <x:v>JOURNAL OF ORGANOMETALLIC CHEMISTRY</x:v>
      </x:c>
      <x:c r="G27" s="29" t="str"/>
      <x:c r="H27" s="29" t="str"/>
      <x:c r="I27" s="29" t="str"/>
      <x:c r="J27" s="29" t="n">
        <x:v>1972</x:v>
      </x:c>
      <x:c r="K27" s="29" t="n">
        <x:v>37</x:v>
      </x:c>
      <x:c r="L27" s="29" t="n">
        <x:v>2</x:v>
      </x:c>
      <x:c r="M27" s="29" t="n">
        <x:v>251</x:v>
      </x:c>
      <x:c r="N27" s="29" t="str">
        <x:v>&amp;</x:v>
      </x:c>
      <x:c r="O27" s="29" t="str"/>
      <x:c r="P27" s="29" t="str">
        <x:v>10.1016/S0022-328X(00)96022-4</x:v>
      </x:c>
      <x:c r="Q27" s="30" t="e">
        <x:f>IF(LEN(P27)&gt;0,HYPERLINK("https://doi.org/"&amp;P27,"Open DOI"),"")</x:f>
        <x:v>HYPERLINK is not implemented. linkLocation=https://doi.org/10.1016/S0022-328X(00)96022-4, friendlyName=Open DOI</x:v>
      </x:c>
      <x:c r="R27" s="29" t="str"/>
      <x:c r="S27" s="29" t="str">
        <x:v>WOS:A1972M252700018</x:v>
      </x:c>
      <x:c r="T27" s="29" t="str"/>
      <x:c r="U27" s="29" t="str"/>
      <x:c r="V27" s="29" t="str"/>
      <x:c r="W27" s="29" t="str"/>
    </x:row>
    <x:row r="28" ht="42" customHeight="1">
      <x:c r="A28" s="29" t="n">
        <x:v>27</x:v>
      </x:c>
      <x:c r="B28" s="29" t="n">
        <x:v>28</x:v>
      </x:c>
      <x:c r="C28" s="29" t="str">
        <x:v>J</x:v>
      </x:c>
      <x:c r="D28" s="29" t="str">
        <x:v>KAWASHIMA, T; IWAMA, N; TOKITOH, N; OKAZAKI, R</x:v>
      </x:c>
      <x:c r="E28" s="29" t="str">
        <x:v>SYNTHESIS AND CRYSTAL-STRUCTURE OF AN INTERMEDIATE OF THE GERMANIUM-PETERSON REACTIONS</x:v>
      </x:c>
      <x:c r="F28" s="29" t="str">
        <x:v>JOURNAL OF ORGANIC CHEMISTRY</x:v>
      </x:c>
      <x:c r="G28" s="29" t="str"/>
      <x:c r="H28" s="29" t="str"/>
      <x:c r="I28" s="29" t="str">
        <x:v>JAN 28</x:v>
      </x:c>
      <x:c r="J28" s="29" t="n">
        <x:v>1994</x:v>
      </x:c>
      <x:c r="K28" s="29" t="n">
        <x:v>59</x:v>
      </x:c>
      <x:c r="L28" s="29" t="n">
        <x:v>2</x:v>
      </x:c>
      <x:c r="M28" s="29" t="n">
        <x:v>491</x:v>
      </x:c>
      <x:c r="N28" s="29" t="n">
        <x:v>493</x:v>
      </x:c>
      <x:c r="O28" s="29" t="str"/>
      <x:c r="P28" s="29" t="str">
        <x:v>10.1021/jo00081a036</x:v>
      </x:c>
      <x:c r="Q28" s="30" t="e">
        <x:f>IF(LEN(P28)&gt;0,HYPERLINK("https://doi.org/"&amp;P28,"Open DOI"),"")</x:f>
        <x:v>HYPERLINK is not implemented. linkLocation=https://doi.org/10.1021/jo00081a036, friendlyName=Open DOI</x:v>
      </x:c>
      <x:c r="R28" s="29" t="str"/>
      <x:c r="S28" s="29" t="str">
        <x:v>WOS:A1994MV01000036</x:v>
      </x:c>
      <x:c r="T28" s="29" t="str"/>
      <x:c r="U28" s="29" t="str"/>
      <x:c r="V28" s="29" t="str"/>
      <x:c r="W28" s="29" t="str"/>
    </x:row>
    <x:row r="29" ht="42" customHeight="1">
      <x:c r="A29" s="29" t="n">
        <x:v>28</x:v>
      </x:c>
      <x:c r="B29" s="29" t="n">
        <x:v>29</x:v>
      </x:c>
      <x:c r="C29" s="29" t="str">
        <x:v>J</x:v>
      </x:c>
      <x:c r="D29" s="29" t="str">
        <x:v>NAZARENK.VA; FLYANTIK.GV; TETEREVA, AM</x:v>
      </x:c>
      <x:c r="E29" s="29" t="str">
        <x:v>INVESTIGATION OF REACTIONS OF POLYVALENT ELEMENTS WITH ORGANIC REAGENTS .29. INTERACTION OF GERMANIUM WITH PURPURIN</x:v>
      </x:c>
      <x:c r="F29" s="29" t="str">
        <x:v>ZHURNAL ANALITICHESKOI KHIMII</x:v>
      </x:c>
      <x:c r="G29" s="29" t="str"/>
      <x:c r="H29" s="29" t="str"/>
      <x:c r="I29" s="29" t="str"/>
      <x:c r="J29" s="29" t="n">
        <x:v>1974</x:v>
      </x:c>
      <x:c r="K29" s="29" t="n">
        <x:v>29</x:v>
      </x:c>
      <x:c r="L29" s="29" t="n">
        <x:v>2</x:v>
      </x:c>
      <x:c r="M29" s="29" t="n">
        <x:v>284</x:v>
      </x:c>
      <x:c r="N29" s="29" t="n">
        <x:v>288</x:v>
      </x:c>
      <x:c r="O29" s="29" t="str"/>
      <x:c r="P29" s="29" t="str"/>
      <x:c r="Q29" s="30" t="str">
        <x:f>IF(LEN(P29)&gt;0,HYPERLINK("https://doi.org/"&amp;P29,"Open DOI"),"")</x:f>
      </x:c>
      <x:c r="R29" s="29" t="str"/>
      <x:c r="S29" s="29" t="str">
        <x:v>WOS:A1974S254900016</x:v>
      </x:c>
      <x:c r="T29" s="29" t="str"/>
      <x:c r="U29" s="29" t="str"/>
      <x:c r="V29" s="29" t="str"/>
      <x:c r="W29" s="29" t="str"/>
    </x:row>
    <x:row r="30" ht="42" customHeight="1">
      <x:c r="A30" s="29" t="n">
        <x:v>29</x:v>
      </x:c>
      <x:c r="B30" s="29" t="n">
        <x:v>30</x:v>
      </x:c>
      <x:c r="C30" s="29" t="str">
        <x:v>J</x:v>
      </x:c>
      <x:c r="D30" s="29" t="str">
        <x:v>CORRIU, RJP; FERNANDEZ, JM; GUERIN, C</x:v>
      </x:c>
      <x:c r="E30" s="29" t="str">
        <x:v>USE OF SBF5 INTERCALATED IN GRAPHITE AS FLUORINATING REAGENT IN ORGANO-SILICON AND ORGANO-GERMANIUM CHEMISTRY</x:v>
      </x:c>
      <x:c r="F30" s="29" t="str">
        <x:v>JOURNAL OF ORGANOMETALLIC CHEMISTRY</x:v>
      </x:c>
      <x:c r="G30" s="29" t="str"/>
      <x:c r="H30" s="29" t="str"/>
      <x:c r="I30" s="29" t="str"/>
      <x:c r="J30" s="29" t="n">
        <x:v>1980</x:v>
      </x:c>
      <x:c r="K30" s="29" t="n">
        <x:v>192</x:v>
      </x:c>
      <x:c r="L30" s="29" t="n">
        <x:v>3</x:v>
      </x:c>
      <x:c r="M30" s="29" t="n">
        <x:v>347</x:v>
      </x:c>
      <x:c r="N30" s="29" t="n">
        <x:v>352</x:v>
      </x:c>
      <x:c r="O30" s="29" t="str"/>
      <x:c r="P30" s="29" t="str">
        <x:v>10.1016/S0022-328X(00)81225-5</x:v>
      </x:c>
      <x:c r="Q30" s="30" t="e">
        <x:f>IF(LEN(P30)&gt;0,HYPERLINK("https://doi.org/"&amp;P30,"Open DOI"),"")</x:f>
        <x:v>HYPERLINK is not implemented. linkLocation=https://doi.org/10.1016/S0022-328X(00)81225-5, friendlyName=Open DOI</x:v>
      </x:c>
      <x:c r="R30" s="29" t="str"/>
      <x:c r="S30" s="29" t="str">
        <x:v>WOS:A1980JY56000006</x:v>
      </x:c>
      <x:c r="T30" s="29" t="str"/>
      <x:c r="U30" s="29" t="str"/>
      <x:c r="V30" s="29" t="str"/>
      <x:c r="W30" s="29" t="str"/>
    </x:row>
    <x:row r="31" ht="42" customHeight="1">
      <x:c r="A31" s="29" t="n">
        <x:v>30</x:v>
      </x:c>
      <x:c r="B31" s="29" t="n">
        <x:v>31</x:v>
      </x:c>
      <x:c r="C31" s="29" t="str">
        <x:v>J</x:v>
      </x:c>
      <x:c r="D31" s="29" t="str">
        <x:v>ALBERTSEN, J; STEUDEL, R</x:v>
      </x:c>
      <x:c r="E31" s="29" t="str">
        <x:v>SILICON CONTAINING AND GERMANIUM CONTAINING TITANOCENE CHALCOGENIDE COMPLEXES AS TRANSFER REAGENTS IN RING SYNTHESIS</x:v>
      </x:c>
      <x:c r="F31" s="29" t="str">
        <x:v>PHOSPHORUS SULFUR AND SILICON AND THE RELATED ELEMENTS</x:v>
      </x:c>
      <x:c r="G31" s="29" t="str"/>
      <x:c r="H31" s="29" t="str"/>
      <x:c r="I31" s="29" t="str"/>
      <x:c r="J31" s="29" t="n">
        <x:v>1992</x:v>
      </x:c>
      <x:c r="K31" s="29" t="str">
        <x:v>64-5</x:v>
      </x:c>
      <x:c r="L31" s="29" t="str">
        <x:v>1-4</x:v>
      </x:c>
      <x:c r="M31" s="29" t="n">
        <x:v>343</x:v>
      </x:c>
      <x:c r="N31" s="29" t="n">
        <x:v>346</x:v>
      </x:c>
      <x:c r="O31" s="29" t="str"/>
      <x:c r="P31" s="29" t="str"/>
      <x:c r="Q31" s="30" t="str">
        <x:f>IF(LEN(P31)&gt;0,HYPERLINK("https://doi.org/"&amp;P31,"Open DOI"),"")</x:f>
      </x:c>
      <x:c r="R31" s="29" t="str"/>
      <x:c r="S31" s="29" t="str">
        <x:v>WOS:A1992HN16900064</x:v>
      </x:c>
      <x:c r="T31" s="29" t="str"/>
      <x:c r="U31" s="29" t="str"/>
      <x:c r="V31" s="29" t="str"/>
      <x:c r="W31" s="29" t="str"/>
    </x:row>
    <x:row r="32" ht="42" customHeight="1">
      <x:c r="A32" s="29" t="n">
        <x:v>31</x:v>
      </x:c>
      <x:c r="B32" s="29" t="n">
        <x:v>32</x:v>
      </x:c>
      <x:c r="C32" s="29" t="str">
        <x:v>J</x:v>
      </x:c>
      <x:c r="D32" s="29" t="str">
        <x:v>BONDAREVSKAYA, EA; KROPOTOVA, ED</x:v>
      </x:c>
      <x:c r="E32" s="29" t="str">
        <x:v>DETERMINATION OF OXYGEN-CONTAINING ORGANOMETALLIC COMPOUNDS OF SILICON, TIN, AND GERMANIUM BY MEANS OF ELECTROGENERATED FISCHER REAGENT</x:v>
      </x:c>
      <x:c r="F32" s="29" t="str">
        <x:v>JOURNAL OF ANALYTICAL CHEMISTRY OF THE USSR</x:v>
      </x:c>
      <x:c r="G32" s="29" t="str"/>
      <x:c r="H32" s="29" t="str"/>
      <x:c r="I32" s="29" t="str"/>
      <x:c r="J32" s="29" t="n">
        <x:v>1978</x:v>
      </x:c>
      <x:c r="K32" s="29" t="n">
        <x:v>33</x:v>
      </x:c>
      <x:c r="L32" s="29" t="n">
        <x:v>10</x:v>
      </x:c>
      <x:c r="M32" s="29" t="n">
        <x:v>1575</x:v>
      </x:c>
      <x:c r="N32" s="29" t="n">
        <x:v>1578</x:v>
      </x:c>
      <x:c r="O32" s="29" t="str"/>
      <x:c r="P32" s="29" t="str"/>
      <x:c r="Q32" s="30" t="str">
        <x:f>IF(LEN(P32)&gt;0,HYPERLINK("https://doi.org/"&amp;P32,"Open DOI"),"")</x:f>
      </x:c>
      <x:c r="R32" s="29" t="str"/>
      <x:c r="S32" s="29" t="str">
        <x:v>WOS:A1978GW06000016</x:v>
      </x:c>
      <x:c r="T32" s="29" t="str"/>
      <x:c r="U32" s="29" t="str"/>
      <x:c r="V32" s="29" t="str"/>
      <x:c r="W32" s="29" t="str"/>
    </x:row>
    <x:row r="33" ht="42" customHeight="1">
      <x:c r="A33" s="29" t="n">
        <x:v>32</x:v>
      </x:c>
      <x:c r="B33" s="29" t="n">
        <x:v>33</x:v>
      </x:c>
      <x:c r="C33" s="29" t="str">
        <x:v>J</x:v>
      </x:c>
      <x:c r="D33" s="29" t="str">
        <x:v>Kapustina, AA; Shapkin, NP; Ivanova, EB; Lyakhina, AA</x:v>
      </x:c>
      <x:c r="E33" s="29" t="str">
        <x:v>Mechanochemical synthesis of poly(germanium and tin organosiloxanes)</x:v>
      </x:c>
      <x:c r="F33" s="29" t="str">
        <x:v>RUSSIAN JOURNAL OF GENERAL CHEMISTRY</x:v>
      </x:c>
      <x:c r="G33" s="29" t="str"/>
      <x:c r="H33" s="29" t="str"/>
      <x:c r="I33" s="29" t="str">
        <x:v>APR</x:v>
      </x:c>
      <x:c r="J33" s="29" t="n">
        <x:v>2005</x:v>
      </x:c>
      <x:c r="K33" s="29" t="n">
        <x:v>75</x:v>
      </x:c>
      <x:c r="L33" s="29" t="n">
        <x:v>4</x:v>
      </x:c>
      <x:c r="M33" s="29" t="n">
        <x:v>571</x:v>
      </x:c>
      <x:c r="N33" s="29" t="n">
        <x:v>574</x:v>
      </x:c>
      <x:c r="O33" s="29" t="str"/>
      <x:c r="P33" s="29" t="str">
        <x:v>10.1007/s11176-005-0273-3</x:v>
      </x:c>
      <x:c r="Q33" s="30" t="e">
        <x:f>IF(LEN(P33)&gt;0,HYPERLINK("https://doi.org/"&amp;P33,"Open DOI"),"")</x:f>
        <x:v>HYPERLINK is not implemented. linkLocation=https://doi.org/10.1007/s11176-005-0273-3, friendlyName=Open DOI</x:v>
      </x:c>
      <x:c r="R33" s="29" t="str"/>
      <x:c r="S33" s="29" t="str">
        <x:v>WOS:000229894400015</x:v>
      </x:c>
      <x:c r="T33" s="29" t="str"/>
      <x:c r="U33" s="29" t="str"/>
      <x:c r="V33" s="29" t="str"/>
      <x:c r="W33" s="29" t="str"/>
    </x:row>
    <x:row r="34" ht="42" customHeight="1">
      <x:c r="A34" s="29" t="n">
        <x:v>33</x:v>
      </x:c>
      <x:c r="B34" s="29" t="n">
        <x:v>34</x:v>
      </x:c>
      <x:c r="C34" s="29" t="str">
        <x:v>J</x:v>
      </x:c>
      <x:c r="D34" s="29" t="str">
        <x:v>Li, ZJ; Pan, JM; Ou, ZP</x:v>
      </x:c>
      <x:c r="E34" s="29" t="str">
        <x:v>New development of the derivatives of fluorone as chromogenic reagent in analytical chemistry</x:v>
      </x:c>
      <x:c r="F34" s="29" t="str">
        <x:v>REVIEWS IN ANALYTICAL CHEMISTRY</x:v>
      </x:c>
      <x:c r="G34" s="29" t="str"/>
      <x:c r="H34" s="29" t="str"/>
      <x:c r="I34" s="29" t="str"/>
      <x:c r="J34" s="29" t="n">
        <x:v>2003</x:v>
      </x:c>
      <x:c r="K34" s="29" t="n">
        <x:v>22</x:v>
      </x:c>
      <x:c r="L34" s="29" t="n">
        <x:v>2</x:v>
      </x:c>
      <x:c r="M34" s="29" t="n">
        <x:v>93</x:v>
      </x:c>
      <x:c r="N34" s="29" t="n">
        <x:v>156</x:v>
      </x:c>
      <x:c r="O34" s="29" t="str"/>
      <x:c r="P34" s="29" t="str"/>
      <x:c r="Q34" s="30" t="str">
        <x:f>IF(LEN(P34)&gt;0,HYPERLINK("https://doi.org/"&amp;P34,"Open DOI"),"")</x:f>
      </x:c>
      <x:c r="R34" s="29" t="str"/>
      <x:c r="S34" s="29" t="str">
        <x:v>WOS:000187276000002</x:v>
      </x:c>
      <x:c r="T34" s="29" t="str"/>
      <x:c r="U34" s="29" t="str"/>
      <x:c r="V34" s="29" t="str"/>
      <x:c r="W34" s="29" t="str"/>
    </x:row>
    <x:row r="35" ht="42" customHeight="1">
      <x:c r="A35" s="29" t="n">
        <x:v>34</x:v>
      </x:c>
      <x:c r="B35" s="29" t="n">
        <x:v>35</x:v>
      </x:c>
      <x:c r="C35" s="29" t="str">
        <x:v>J</x:v>
      </x:c>
      <x:c r="D35" s="29" t="str">
        <x:v>NAZARENKO, VA; FLYANTIKOVA, GV; KOROLENKO, LI; ANISIMOV, YN</x:v>
      </x:c>
      <x:c r="E35" s="29" t="str">
        <x:v>CHEMISTRY OF REACTIONS BETWEEN IONS OF MULTIVALENT ELEMENTS AND ORGANIC REAGENTS .31. REACTION BETWEEN GERMANIUM(IV) AND ALIZARINCOMPLEXONE</x:v>
      </x:c>
      <x:c r="F35" s="29" t="str">
        <x:v>JOURNAL OF ANALYTICAL CHEMISTRY OF THE USSR</x:v>
      </x:c>
      <x:c r="G35" s="29" t="str"/>
      <x:c r="H35" s="29" t="str"/>
      <x:c r="I35" s="29" t="str"/>
      <x:c r="J35" s="29" t="n">
        <x:v>1975</x:v>
      </x:c>
      <x:c r="K35" s="29" t="n">
        <x:v>30</x:v>
      </x:c>
      <x:c r="L35" s="29" t="n">
        <x:v>7</x:v>
      </x:c>
      <x:c r="M35" s="29" t="n">
        <x:v>1139</x:v>
      </x:c>
      <x:c r="N35" s="29" t="n">
        <x:v>1143</x:v>
      </x:c>
      <x:c r="O35" s="29" t="str"/>
      <x:c r="P35" s="29" t="str"/>
      <x:c r="Q35" s="30" t="str">
        <x:f>IF(LEN(P35)&gt;0,HYPERLINK("https://doi.org/"&amp;P35,"Open DOI"),"")</x:f>
      </x:c>
      <x:c r="R35" s="29" t="str"/>
      <x:c r="S35" s="29" t="str">
        <x:v>WOS:A1975BF56600003</x:v>
      </x:c>
      <x:c r="T35" s="29" t="str"/>
      <x:c r="U35" s="29" t="str"/>
      <x:c r="V35" s="29" t="str"/>
      <x:c r="W35" s="29" t="str"/>
    </x:row>
    <x:row r="36" ht="42" customHeight="1">
      <x:c r="A36" s="29" t="n">
        <x:v>35</x:v>
      </x:c>
      <x:c r="B36" s="29" t="n">
        <x:v>36</x:v>
      </x:c>
      <x:c r="C36" s="29" t="str">
        <x:v>J</x:v>
      </x:c>
      <x:c r="D36" s="29" t="str">
        <x:v>CERVEAU, G; CHUIT, C; CORRIU, RJP; REYE, C</x:v>
      </x:c>
      <x:c r="E36" s="29" t="str">
        <x:v>REACTIVITY OF DIANIONIC HEXACOORDINATE GERMANIUM COMPLEXES TOWARD ORGANOMETALLIC REAGENTS - A NEW ROUTE TO ORGANOGERMANES</x:v>
      </x:c>
      <x:c r="F36" s="29" t="str">
        <x:v>ORGANOMETALLICS</x:v>
      </x:c>
      <x:c r="G36" s="29" t="str"/>
      <x:c r="H36" s="29" t="str"/>
      <x:c r="I36" s="29" t="str">
        <x:v>MAY</x:v>
      </x:c>
      <x:c r="J36" s="29" t="n">
        <x:v>1991</x:v>
      </x:c>
      <x:c r="K36" s="29" t="n">
        <x:v>10</x:v>
      </x:c>
      <x:c r="L36" s="29" t="n">
        <x:v>5</x:v>
      </x:c>
      <x:c r="M36" s="29" t="n">
        <x:v>1510</x:v>
      </x:c>
      <x:c r="N36" s="29" t="n">
        <x:v>1515</x:v>
      </x:c>
      <x:c r="O36" s="29" t="str"/>
      <x:c r="P36" s="29" t="str">
        <x:v>10.1021/om00051a049</x:v>
      </x:c>
      <x:c r="Q36" s="30" t="e">
        <x:f>IF(LEN(P36)&gt;0,HYPERLINK("https://doi.org/"&amp;P36,"Open DOI"),"")</x:f>
        <x:v>HYPERLINK is not implemented. linkLocation=https://doi.org/10.1021/om00051a049, friendlyName=Open DOI</x:v>
      </x:c>
      <x:c r="R36" s="29" t="str"/>
      <x:c r="S36" s="29" t="str">
        <x:v>WOS:A1991FM14600050</x:v>
      </x:c>
      <x:c r="T36" s="29" t="str"/>
      <x:c r="U36" s="29" t="str"/>
      <x:c r="V36" s="29" t="str"/>
      <x:c r="W36" s="29" t="str"/>
    </x:row>
    <x:row r="37" ht="42" customHeight="1">
      <x:c r="A37" s="29" t="n">
        <x:v>36</x:v>
      </x:c>
      <x:c r="B37" s="29" t="n">
        <x:v>37</x:v>
      </x:c>
      <x:c r="C37" s="29" t="str">
        <x:v>J</x:v>
      </x:c>
      <x:c r="D37" s="29" t="str">
        <x:v>Losev, VN; Buiko, O; Didukh-Shadrina, SL; Shimanskii, AF; Zhizhaev, AM</x:v>
      </x:c>
      <x:c r="E37" s="29" t="str">
        <x:v>Germanium(IV) Adsorption by Inorganic Oxides Modified Layer-by-Layer with Polyhexamethylene Guanidine and Tiron</x:v>
      </x:c>
      <x:c r="F37" s="29" t="str">
        <x:v>RUSSIAN JOURNAL OF INORGANIC CHEMISTRY</x:v>
      </x:c>
      <x:c r="G37" s="29" t="str"/>
      <x:c r="H37" s="29" t="str"/>
      <x:c r="I37" s="29" t="str">
        <x:v>SEP</x:v>
      </x:c>
      <x:c r="J37" s="29" t="n">
        <x:v>2022</x:v>
      </x:c>
      <x:c r="K37" s="29" t="n">
        <x:v>67</x:v>
      </x:c>
      <x:c r="L37" s="29" t="n">
        <x:v>9</x:v>
      </x:c>
      <x:c r="M37" s="29" t="n">
        <x:v>1408</x:v>
      </x:c>
      <x:c r="N37" s="29" t="n">
        <x:v>1415</x:v>
      </x:c>
      <x:c r="O37" s="29" t="str"/>
      <x:c r="P37" s="29" t="str">
        <x:v>10.1134/S0036023622090078</x:v>
      </x:c>
      <x:c r="Q37" s="30" t="e">
        <x:f>IF(LEN(P37)&gt;0,HYPERLINK("https://doi.org/"&amp;P37,"Open DOI"),"")</x:f>
        <x:v>HYPERLINK is not implemented. linkLocation=https://doi.org/10.1134/S0036023622090078, friendlyName=Open DOI</x:v>
      </x:c>
      <x:c r="R37" s="29" t="str"/>
      <x:c r="S37" s="29" t="str">
        <x:v>WOS:000853095000010</x:v>
      </x:c>
      <x:c r="T37" s="29" t="str"/>
      <x:c r="U37" s="29" t="str"/>
      <x:c r="V37" s="29" t="str"/>
      <x:c r="W37" s="29" t="str"/>
    </x:row>
    <x:row r="38" ht="42" customHeight="1">
      <x:c r="A38" s="29" t="n">
        <x:v>37</x:v>
      </x:c>
      <x:c r="B38" s="29" t="n">
        <x:v>38</x:v>
      </x:c>
      <x:c r="C38" s="29" t="str">
        <x:v>J</x:v>
      </x:c>
      <x:c r="D38" s="29" t="str">
        <x:v>NAZARENKO, VA; FLYANTIK.GV; SELYUTIN.TN</x:v>
      </x:c>
      <x:c r="E38" s="29" t="str">
        <x:v>STUDIES OF CHEMISM OF REACTIONS OF MULTIVALENT ELEMENTS WITH ORGANIC REAGENTS .28. INTERACTION OF GERMANIUM WITH 1,2-DIHYDROXYANTHRAQUINONE</x:v>
      </x:c>
      <x:c r="F38" s="29" t="str">
        <x:v>ZHURNAL ANALITICHESKOI KHIMII</x:v>
      </x:c>
      <x:c r="G38" s="29" t="str"/>
      <x:c r="H38" s="29" t="str"/>
      <x:c r="I38" s="29" t="str"/>
      <x:c r="J38" s="29" t="n">
        <x:v>1972</x:v>
      </x:c>
      <x:c r="K38" s="29" t="n">
        <x:v>27</x:v>
      </x:c>
      <x:c r="L38" s="29" t="n">
        <x:v>12</x:v>
      </x:c>
      <x:c r="M38" s="29" t="n">
        <x:v>2369</x:v>
      </x:c>
      <x:c r="N38" s="29" t="n">
        <x:v>2376</x:v>
      </x:c>
      <x:c r="O38" s="29" t="str"/>
      <x:c r="P38" s="29" t="str"/>
      <x:c r="Q38" s="30" t="str">
        <x:f>IF(LEN(P38)&gt;0,HYPERLINK("https://doi.org/"&amp;P38,"Open DOI"),"")</x:f>
      </x:c>
      <x:c r="R38" s="29" t="str"/>
      <x:c r="S38" s="29" t="str">
        <x:v>WOS:A1972O437100015</x:v>
      </x:c>
      <x:c r="T38" s="29" t="str"/>
      <x:c r="U38" s="29" t="str"/>
      <x:c r="V38" s="29" t="str"/>
      <x:c r="W38" s="29" t="str"/>
    </x:row>
    <x:row r="39" ht="42" customHeight="1">
      <x:c r="A39" s="29" t="n">
        <x:v>38</x:v>
      </x:c>
      <x:c r="B39" s="29" t="n">
        <x:v>39</x:v>
      </x:c>
      <x:c r="C39" s="29" t="str">
        <x:v>J</x:v>
      </x:c>
      <x:c r="D39" s="29" t="str">
        <x:v>Zhang, PF; Gao, HW; Shen, NK</x:v>
      </x:c>
      <x:c r="E39" s="29" t="str">
        <x:v>Determination of germanium with phenylfluorone by β-correction spectrophotometry</x:v>
      </x:c>
      <x:c r="F39" s="29" t="str">
        <x:v>ASIAN JOURNAL OF CHEMISTRY</x:v>
      </x:c>
      <x:c r="G39" s="29" t="str"/>
      <x:c r="H39" s="29" t="str"/>
      <x:c r="I39" s="29" t="str">
        <x:v>OCT</x:v>
      </x:c>
      <x:c r="J39" s="29" t="n">
        <x:v>1998</x:v>
      </x:c>
      <x:c r="K39" s="29" t="n">
        <x:v>10</x:v>
      </x:c>
      <x:c r="L39" s="29" t="n">
        <x:v>4</x:v>
      </x:c>
      <x:c r="M39" s="29" t="n">
        <x:v>767</x:v>
      </x:c>
      <x:c r="N39" s="29" t="n">
        <x:v>770</x:v>
      </x:c>
      <x:c r="O39" s="29" t="str"/>
      <x:c r="P39" s="29" t="str"/>
      <x:c r="Q39" s="30" t="str">
        <x:f>IF(LEN(P39)&gt;0,HYPERLINK("https://doi.org/"&amp;P39,"Open DOI"),"")</x:f>
      </x:c>
      <x:c r="R39" s="29" t="str"/>
      <x:c r="S39" s="29" t="str">
        <x:v>WOS:000076507500014</x:v>
      </x:c>
      <x:c r="T39" s="29" t="str"/>
      <x:c r="U39" s="29" t="str"/>
      <x:c r="V39" s="29" t="str"/>
      <x:c r="W39" s="29" t="str"/>
    </x:row>
    <x:row r="40" ht="42" customHeight="1">
      <x:c r="A40" s="29" t="n">
        <x:v>39</x:v>
      </x:c>
      <x:c r="B40" s="29" t="n">
        <x:v>40</x:v>
      </x:c>
      <x:c r="C40" s="29" t="str">
        <x:v>J</x:v>
      </x:c>
      <x:c r="D40" s="29" t="str">
        <x:v>CLARK, RED</x:v>
      </x:c>
      <x:c r="E40" s="29" t="str">
        <x:v>ORTHO-DITHIOLS IN ANALYSIS .5. THE ZINC COMPLEX OF TOLUENE-3-4-DITHIOL AS A REAGENT FOR ARSENIC AND GERMANIUM</x:v>
      </x:c>
      <x:c r="F40" s="29" t="str">
        <x:v>ANALYST</x:v>
      </x:c>
      <x:c r="G40" s="29" t="str"/>
      <x:c r="H40" s="29" t="str"/>
      <x:c r="I40" s="29" t="str"/>
      <x:c r="J40" s="29" t="n">
        <x:v>1957</x:v>
      </x:c>
      <x:c r="K40" s="29" t="n">
        <x:v>82</x:v>
      </x:c>
      <x:c r="L40" s="29" t="n">
        <x:v>980</x:v>
      </x:c>
      <x:c r="M40" s="29" t="n">
        <x:v>760</x:v>
      </x:c>
      <x:c r="N40" s="29" t="n">
        <x:v>763</x:v>
      </x:c>
      <x:c r="O40" s="29" t="str"/>
      <x:c r="P40" s="29" t="str">
        <x:v>10.1039/an9578200760</x:v>
      </x:c>
      <x:c r="Q40" s="30" t="e">
        <x:f>IF(LEN(P40)&gt;0,HYPERLINK("https://doi.org/"&amp;P40,"Open DOI"),"")</x:f>
        <x:v>HYPERLINK is not implemented. linkLocation=https://doi.org/10.1039/an9578200760, friendlyName=Open DOI</x:v>
      </x:c>
      <x:c r="R40" s="29" t="str"/>
      <x:c r="S40" s="29" t="str">
        <x:v>WOS:A1957WV05600006</x:v>
      </x:c>
      <x:c r="T40" s="29" t="str"/>
      <x:c r="U40" s="29" t="str"/>
      <x:c r="V40" s="29" t="str"/>
      <x:c r="W40" s="29" t="str"/>
    </x:row>
    <x:row r="41" ht="42" customHeight="1">
      <x:c r="A41" s="29" t="n">
        <x:v>40</x:v>
      </x:c>
      <x:c r="B41" s="29" t="n">
        <x:v>41</x:v>
      </x:c>
      <x:c r="C41" s="29" t="str">
        <x:v>J</x:v>
      </x:c>
      <x:c r="D41" s="29" t="str">
        <x:v>SUJISHI, S; KEITH, JN</x:v>
      </x:c>
      <x:c r="E41" s="29" t="str">
        <x:v>REACTIONS OF GERMANIUM TETRACHLORIDE WITH LITHIUM ALUMINOHYDRIDES - LITHIUM TRI-T-BUTOXYALUMINOHYDRIDE AS AN EFFICIENT REAGENT FOR THE PREPARATION OF GERMANE</x:v>
      </x:c>
      <x:c r="F41" s="29" t="str">
        <x:v>JOURNAL OF THE AMERICAN CHEMICAL SOCIETY</x:v>
      </x:c>
      <x:c r="G41" s="29" t="str"/>
      <x:c r="H41" s="29" t="str"/>
      <x:c r="I41" s="29" t="str"/>
      <x:c r="J41" s="29" t="n">
        <x:v>1958</x:v>
      </x:c>
      <x:c r="K41" s="29" t="n">
        <x:v>80</x:v>
      </x:c>
      <x:c r="L41" s="29" t="n">
        <x:v>16</x:v>
      </x:c>
      <x:c r="M41" s="29" t="n">
        <x:v>4138</x:v>
      </x:c>
      <x:c r="N41" s="29" t="n">
        <x:v>4140</x:v>
      </x:c>
      <x:c r="O41" s="29" t="str"/>
      <x:c r="P41" s="29" t="str">
        <x:v>10.1021/ja01549a006</x:v>
      </x:c>
      <x:c r="Q41" s="30" t="e">
        <x:f>IF(LEN(P41)&gt;0,HYPERLINK("https://doi.org/"&amp;P41,"Open DOI"),"")</x:f>
        <x:v>HYPERLINK is not implemented. linkLocation=https://doi.org/10.1021/ja01549a006, friendlyName=Open DOI</x:v>
      </x:c>
      <x:c r="R41" s="29" t="str"/>
      <x:c r="S41" s="29" t="str">
        <x:v>WOS:A1958WB39100006</x:v>
      </x:c>
      <x:c r="T41" s="29" t="str"/>
      <x:c r="U41" s="29" t="str"/>
      <x:c r="V41" s="29" t="str"/>
      <x:c r="W41" s="29" t="str"/>
    </x:row>
    <x:row r="42" ht="42" customHeight="1">
      <x:c r="A42" s="29" t="n">
        <x:v>41</x:v>
      </x:c>
      <x:c r="B42" s="29" t="n">
        <x:v>42</x:v>
      </x:c>
      <x:c r="C42" s="29" t="str">
        <x:v>J</x:v>
      </x:c>
      <x:c r="D42" s="29" t="str">
        <x:v>CHONG, JM; PARK, SB</x:v>
      </x:c>
      <x:c r="E42" s="29" t="str">
        <x:v>STEREOSELECTIVE SYNTHESIS OF (E)-VINYLSTANNANES FROM ALDEHYDES</x:v>
      </x:c>
      <x:c r="F42" s="29" t="str">
        <x:v>JOURNAL OF ORGANIC CHEMISTRY</x:v>
      </x:c>
      <x:c r="G42" s="29" t="str"/>
      <x:c r="H42" s="29" t="str"/>
      <x:c r="I42" s="29" t="str">
        <x:v>JAN 15</x:v>
      </x:c>
      <x:c r="J42" s="29" t="n">
        <x:v>1993</x:v>
      </x:c>
      <x:c r="K42" s="29" t="n">
        <x:v>58</x:v>
      </x:c>
      <x:c r="L42" s="29" t="n">
        <x:v>2</x:v>
      </x:c>
      <x:c r="M42" s="29" t="n">
        <x:v>523</x:v>
      </x:c>
      <x:c r="N42" s="29" t="n">
        <x:v>527</x:v>
      </x:c>
      <x:c r="O42" s="29" t="str"/>
      <x:c r="P42" s="29" t="str">
        <x:v>10.1021/jo00054a046</x:v>
      </x:c>
      <x:c r="Q42" s="30" t="e">
        <x:f>IF(LEN(P42)&gt;0,HYPERLINK("https://doi.org/"&amp;P42,"Open DOI"),"")</x:f>
        <x:v>HYPERLINK is not implemented. linkLocation=https://doi.org/10.1021/jo00054a046, friendlyName=Open DOI</x:v>
      </x:c>
      <x:c r="R42" s="29" t="str"/>
      <x:c r="S42" s="29" t="str">
        <x:v>WOS:A1993KH73800046</x:v>
      </x:c>
      <x:c r="T42" s="29" t="str"/>
      <x:c r="U42" s="29" t="str"/>
      <x:c r="V42" s="29" t="str"/>
      <x:c r="W42" s="29" t="str"/>
    </x:row>
    <x:row r="43" ht="42" customHeight="1">
      <x:c r="A43" s="29" t="n">
        <x:v>42</x:v>
      </x:c>
      <x:c r="B43" s="29" t="n">
        <x:v>43</x:v>
      </x:c>
      <x:c r="C43" s="29" t="str">
        <x:v>J</x:v>
      </x:c>
      <x:c r="D43" s="29" t="str">
        <x:v>NAZARENK.VA; MAKRINIC.NI</x:v>
      </x:c>
      <x:c r="E43" s="29" t="str">
        <x:v>A STUDY OF CHEMISTRY OF REACTIONS BETWEEN IONS OF MULTIVALENT ELEMENTS AND ORGANIC REAGENTS .22. INTERACTION OF GERMANIUM (IV) WITH ORTHO-DIHYDROXYCHROMENOLS</x:v>
      </x:c>
      <x:c r="F43" s="29" t="str">
        <x:v>ZHURNAL ANALITICHESKOI KHIMII</x:v>
      </x:c>
      <x:c r="G43" s="29" t="str"/>
      <x:c r="H43" s="29" t="str"/>
      <x:c r="I43" s="29" t="str"/>
      <x:c r="J43" s="29" t="n">
        <x:v>1970</x:v>
      </x:c>
      <x:c r="K43" s="29" t="n">
        <x:v>25</x:v>
      </x:c>
      <x:c r="L43" s="29" t="n">
        <x:v>4</x:v>
      </x:c>
      <x:c r="M43" s="29" t="n">
        <x:v>719</x:v>
      </x:c>
      <x:c r="N43" s="29" t="str">
        <x:v>&amp;</x:v>
      </x:c>
      <x:c r="O43" s="29" t="str"/>
      <x:c r="P43" s="29" t="str"/>
      <x:c r="Q43" s="30" t="str">
        <x:f>IF(LEN(P43)&gt;0,HYPERLINK("https://doi.org/"&amp;P43,"Open DOI"),"")</x:f>
      </x:c>
      <x:c r="R43" s="29" t="str"/>
      <x:c r="S43" s="29" t="str">
        <x:v>WOS:A1970G208000019</x:v>
      </x:c>
      <x:c r="T43" s="29" t="str"/>
      <x:c r="U43" s="29" t="str"/>
      <x:c r="V43" s="29" t="str"/>
      <x:c r="W43" s="29" t="str"/>
    </x:row>
    <x:row r="44" ht="42" customHeight="1">
      <x:c r="A44" s="29" t="n">
        <x:v>43</x:v>
      </x:c>
      <x:c r="B44" s="29" t="n">
        <x:v>44</x:v>
      </x:c>
      <x:c r="C44" s="29" t="str">
        <x:v>J</x:v>
      </x:c>
      <x:c r="D44" s="29" t="str">
        <x:v>Xu, QH; Xiao, B</x:v>
      </x:c>
      <x:c r="E44" s="29" t="str">
        <x:v>Organogermanium(iv) compounds in photo-induced radical reactions</x:v>
      </x:c>
      <x:c r="F44" s="29" t="str">
        <x:v>ORGANIC CHEMISTRY FRONTIERS</x:v>
      </x:c>
      <x:c r="G44" s="29" t="str"/>
      <x:c r="H44" s="29" t="str"/>
      <x:c r="I44" s="29" t="str">
        <x:v>DEC 6</x:v>
      </x:c>
      <x:c r="J44" s="29" t="n">
        <x:v>2022</x:v>
      </x:c>
      <x:c r="K44" s="29" t="n">
        <x:v>9</x:v>
      </x:c>
      <x:c r="L44" s="29" t="n">
        <x:v>24</x:v>
      </x:c>
      <x:c r="M44" s="29" t="n">
        <x:v>7016</x:v>
      </x:c>
      <x:c r="N44" s="29" t="n">
        <x:v>7027</x:v>
      </x:c>
      <x:c r="O44" s="29" t="str"/>
      <x:c r="P44" s="29" t="str">
        <x:v>10.1039/d2qo01467j</x:v>
      </x:c>
      <x:c r="Q44" s="30" t="e">
        <x:f>IF(LEN(P44)&gt;0,HYPERLINK("https://doi.org/"&amp;P44,"Open DOI"),"")</x:f>
        <x:v>HYPERLINK is not implemented. linkLocation=https://doi.org/10.1039/d2qo01467j, friendlyName=Open DOI</x:v>
      </x:c>
      <x:c r="R44" s="29" t="str"/>
      <x:c r="S44" s="29" t="str">
        <x:v>WOS:000882182800001</x:v>
      </x:c>
      <x:c r="T44" s="29" t="str"/>
      <x:c r="U44" s="29" t="str"/>
      <x:c r="V44" s="29" t="str"/>
      <x:c r="W44" s="29" t="str"/>
    </x:row>
    <x:row r="45" ht="42" customHeight="1">
      <x:c r="A45" s="29" t="n">
        <x:v>44</x:v>
      </x:c>
      <x:c r="B45" s="29" t="n">
        <x:v>45</x:v>
      </x:c>
      <x:c r="C45" s="29" t="str">
        <x:v>J</x:v>
      </x:c>
      <x:c r="D45" s="29" t="str">
        <x:v>Li, ZJ; Zhou, X; Liu, HZ; Pan, JM</x:v>
      </x:c>
      <x:c r="E45" s="29" t="str">
        <x:v>Development of spectrophotometric method for determination of germanium</x:v>
      </x:c>
      <x:c r="F45" s="29" t="str">
        <x:v>REVIEWS IN ANALYTICAL CHEMISTRY</x:v>
      </x:c>
      <x:c r="G45" s="29" t="str"/>
      <x:c r="H45" s="29" t="str"/>
      <x:c r="I45" s="29" t="str"/>
      <x:c r="J45" s="29" t="n">
        <x:v>2007</x:v>
      </x:c>
      <x:c r="K45" s="29" t="n">
        <x:v>26</x:v>
      </x:c>
      <x:c r="L45" s="29" t="n">
        <x:v>1</x:v>
      </x:c>
      <x:c r="M45" s="29" t="n">
        <x:v>23</x:v>
      </x:c>
      <x:c r="N45" s="29" t="n">
        <x:v>41</x:v>
      </x:c>
      <x:c r="O45" s="29" t="str"/>
      <x:c r="P45" s="29" t="str"/>
      <x:c r="Q45" s="30" t="str">
        <x:f>IF(LEN(P45)&gt;0,HYPERLINK("https://doi.org/"&amp;P45,"Open DOI"),"")</x:f>
      </x:c>
      <x:c r="R45" s="29" t="str"/>
      <x:c r="S45" s="29" t="str">
        <x:v>WOS:000246328400003</x:v>
      </x:c>
      <x:c r="T45" s="29" t="str"/>
      <x:c r="U45" s="29" t="str"/>
      <x:c r="V45" s="29" t="str"/>
      <x:c r="W45" s="29" t="str"/>
    </x:row>
    <x:row r="46" ht="42" customHeight="1">
      <x:c r="A46" s="29" t="n">
        <x:v>45</x:v>
      </x:c>
      <x:c r="B46" s="29" t="n">
        <x:v>46</x:v>
      </x:c>
      <x:c r="C46" s="29" t="str">
        <x:v>J</x:v>
      </x:c>
      <x:c r="D46" s="29" t="str">
        <x:v>Grishanov, DA; Churakov, AV; Medvedev, AG; Mikhaylov, AA; Lev, O; Prikhodchenko, PV</x:v>
      </x:c>
      <x:c r="E46" s="29" t="str">
        <x:v>Crystalline Ammonium Peroxogermanate as a Waste-Free, Fully Recyclable Versatile Precursor for Germanium Compounds</x:v>
      </x:c>
      <x:c r="F46" s="29" t="str">
        <x:v>INORGANIC CHEMISTRY</x:v>
      </x:c>
      <x:c r="G46" s="29" t="str"/>
      <x:c r="H46" s="29" t="str"/>
      <x:c r="I46" s="29" t="str">
        <x:v>FEB 4</x:v>
      </x:c>
      <x:c r="J46" s="29" t="n">
        <x:v>2019</x:v>
      </x:c>
      <x:c r="K46" s="29" t="n">
        <x:v>58</x:v>
      </x:c>
      <x:c r="L46" s="29" t="n">
        <x:v>3</x:v>
      </x:c>
      <x:c r="M46" s="29" t="n">
        <x:v>1905</x:v>
      </x:c>
      <x:c r="N46" s="29" t="n">
        <x:v>1911</x:v>
      </x:c>
      <x:c r="O46" s="29" t="str"/>
      <x:c r="P46" s="29" t="str">
        <x:v>10.1021/acs.inorgchem.8b02747</x:v>
      </x:c>
      <x:c r="Q46" s="30" t="e">
        <x:f>IF(LEN(P46)&gt;0,HYPERLINK("https://doi.org/"&amp;P46,"Open DOI"),"")</x:f>
        <x:v>HYPERLINK is not implemented. linkLocation=https://doi.org/10.1021/acs.inorgchem.8b02747, friendlyName=Open DOI</x:v>
      </x:c>
      <x:c r="R46" s="29" t="n">
        <x:v>30649865</x:v>
      </x:c>
      <x:c r="S46" s="29" t="str">
        <x:v>WOS:000458085900024</x:v>
      </x:c>
      <x:c r="T46" s="29" t="str"/>
      <x:c r="U46" s="29" t="str"/>
      <x:c r="V46" s="29" t="str"/>
      <x:c r="W46" s="29" t="str"/>
    </x:row>
    <x:row r="47" ht="42" customHeight="1">
      <x:c r="A47" s="29" t="n">
        <x:v>46</x:v>
      </x:c>
      <x:c r="B47" s="29" t="n">
        <x:v>47</x:v>
      </x:c>
      <x:c r="C47" s="29" t="str">
        <x:v>J</x:v>
      </x:c>
      <x:c r="D47" s="29" t="str">
        <x:v>TAYLOR, RD; WARDELL, JL</x:v>
      </x:c>
      <x:c r="E47" s="29" t="str">
        <x:v>SULFUR-SUBSTITUTED ORGANOMETALLIC COMPOUNDS .4. REACTIONS OF PARA-TOLYLTHIOMETHYLTRIPHENYLTIN WITH ELECTROPHILIC REAGENTS AND OXIDANTS - COMPARISON OF REACTIONS OF OXYGEN, SELENIUM, AND GERMANIUM ANALOGS</x:v>
      </x:c>
      <x:c r="F47" s="29" t="str">
        <x:v>JOURNAL OF THE CHEMICAL SOCIETY-DALTON TRANSACTIONS</x:v>
      </x:c>
      <x:c r="G47" s="29" t="str"/>
      <x:c r="H47" s="29" t="str"/>
      <x:c r="I47" s="29" t="str"/>
      <x:c r="J47" s="29" t="n">
        <x:v>1976</x:v>
      </x:c>
      <x:c r="K47" s="29" t="str"/>
      <x:c r="L47" s="29" t="n">
        <x:v>14</x:v>
      </x:c>
      <x:c r="M47" s="29" t="n">
        <x:v>1345</x:v>
      </x:c>
      <x:c r="N47" s="29" t="n">
        <x:v>1351</x:v>
      </x:c>
      <x:c r="O47" s="29" t="str"/>
      <x:c r="P47" s="29" t="str">
        <x:v>10.1039/dt9760001345</x:v>
      </x:c>
      <x:c r="Q47" s="30" t="e">
        <x:f>IF(LEN(P47)&gt;0,HYPERLINK("https://doi.org/"&amp;P47,"Open DOI"),"")</x:f>
        <x:v>HYPERLINK is not implemented. linkLocation=https://doi.org/10.1039/dt9760001345, friendlyName=Open DOI</x:v>
      </x:c>
      <x:c r="R47" s="29" t="str"/>
      <x:c r="S47" s="29" t="str">
        <x:v>WOS:A1976CB06400013</x:v>
      </x:c>
      <x:c r="T47" s="29" t="str"/>
      <x:c r="U47" s="29" t="str"/>
      <x:c r="V47" s="29" t="str"/>
      <x:c r="W47" s="29" t="str"/>
    </x:row>
    <x:row r="48" ht="42" customHeight="1">
      <x:c r="A48" s="29" t="n">
        <x:v>47</x:v>
      </x:c>
      <x:c r="B48" s="29" t="n">
        <x:v>48</x:v>
      </x:c>
      <x:c r="C48" s="29" t="str">
        <x:v>J</x:v>
      </x:c>
      <x:c r="D48" s="29" t="str">
        <x:v>Arroyo, F; Fernández-Pereira, C</x:v>
      </x:c>
      <x:c r="E48" s="29" t="str">
        <x:v>Hydrometallurgical recovery of germanium from coal gasification fly ash. solvent extraction method</x:v>
      </x:c>
      <x:c r="F48" s="29" t="str">
        <x:v>INDUSTRIAL &amp; ENGINEERING CHEMISTRY RESEARCH</x:v>
      </x:c>
      <x:c r="G48" s="29" t="str"/>
      <x:c r="H48" s="29" t="str"/>
      <x:c r="I48" s="29" t="str">
        <x:v>MAY 7</x:v>
      </x:c>
      <x:c r="J48" s="29" t="n">
        <x:v>2008</x:v>
      </x:c>
      <x:c r="K48" s="29" t="n">
        <x:v>47</x:v>
      </x:c>
      <x:c r="L48" s="29" t="n">
        <x:v>9</x:v>
      </x:c>
      <x:c r="M48" s="29" t="n">
        <x:v>3186</x:v>
      </x:c>
      <x:c r="N48" s="29" t="n">
        <x:v>3191</x:v>
      </x:c>
      <x:c r="O48" s="29" t="str"/>
      <x:c r="P48" s="29" t="str">
        <x:v>10.1021/ie7016948</x:v>
      </x:c>
      <x:c r="Q48" s="30" t="e">
        <x:f>IF(LEN(P48)&gt;0,HYPERLINK("https://doi.org/"&amp;P48,"Open DOI"),"")</x:f>
        <x:v>HYPERLINK is not implemented. linkLocation=https://doi.org/10.1021/ie7016948, friendlyName=Open DOI</x:v>
      </x:c>
      <x:c r="R48" s="29" t="str"/>
      <x:c r="S48" s="29" t="str">
        <x:v>WOS:000255466400039</x:v>
      </x:c>
      <x:c r="T48" s="29" t="str"/>
      <x:c r="U48" s="29" t="str"/>
      <x:c r="V48" s="29" t="str"/>
      <x:c r="W48" s="29" t="str"/>
    </x:row>
    <x:row r="49" ht="42" customHeight="1">
      <x:c r="A49" s="29" t="n">
        <x:v>48</x:v>
      </x:c>
      <x:c r="B49" s="29" t="n">
        <x:v>49</x:v>
      </x:c>
      <x:c r="C49" s="29" t="str">
        <x:v>J</x:v>
      </x:c>
      <x:c r="D49" s="29" t="str">
        <x:v>NAZARENKO, VA; MAKRINIC.NI; SHUSTOVA, MB</x:v>
      </x:c>
      <x:c r="E49" s="29" t="str">
        <x:v>A STUDY OF CHEMISTRY OF REACTIONS BETWEEN IONS OF MULTIVALENT ELEMENTS AND ORGANIC REAGENTS .23. REACTION BETWEEN GERMANIUM (4) AND TRIHYDROXYFLUORONES IN PRESENCE OF ANTIPYRINE</x:v>
      </x:c>
      <x:c r="F49" s="29" t="str">
        <x:v>ZHURNAL ANALITICHESKOI KHIMII</x:v>
      </x:c>
      <x:c r="G49" s="29" t="str"/>
      <x:c r="H49" s="29" t="str"/>
      <x:c r="I49" s="29" t="str"/>
      <x:c r="J49" s="29" t="n">
        <x:v>1970</x:v>
      </x:c>
      <x:c r="K49" s="29" t="n">
        <x:v>25</x:v>
      </x:c>
      <x:c r="L49" s="29" t="n">
        <x:v>8</x:v>
      </x:c>
      <x:c r="M49" s="29" t="n">
        <x:v>1595</x:v>
      </x:c>
      <x:c r="N49" s="29" t="str">
        <x:v>+</x:v>
      </x:c>
      <x:c r="O49" s="29" t="str"/>
      <x:c r="P49" s="29" t="str"/>
      <x:c r="Q49" s="30" t="str">
        <x:f>IF(LEN(P49)&gt;0,HYPERLINK("https://doi.org/"&amp;P49,"Open DOI"),"")</x:f>
      </x:c>
      <x:c r="R49" s="29" t="str"/>
      <x:c r="S49" s="29" t="str">
        <x:v>WOS:A1970H231200031</x:v>
      </x:c>
      <x:c r="T49" s="29" t="str"/>
      <x:c r="U49" s="29" t="str"/>
      <x:c r="V49" s="29" t="str"/>
      <x:c r="W49" s="29" t="str"/>
    </x:row>
    <x:row r="50" ht="42" customHeight="1">
      <x:c r="A50" s="29" t="n">
        <x:v>49</x:v>
      </x:c>
      <x:c r="B50" s="29" t="n">
        <x:v>50</x:v>
      </x:c>
      <x:c r="C50" s="29" t="str">
        <x:v>J</x:v>
      </x:c>
      <x:c r="D50" s="29" t="str">
        <x:v>MENDELSOHN, JC; METRAS, F; LAHOURNE.JC; VALADE, J</x:v>
      </x:c>
      <x:c r="E50" s="29" t="str">
        <x:v>A NONCLASSICAL REACTION DURING ALKYLATION OF HALIDES CONTAINING GROUP IVB ELEMENTS VIA GRIGNARD REAGENTS .I. GERMANIUM TETRACHLORIDE AND REACTIVITY OF AN INTERMEDIATE WITH A GE-MG BOND</x:v>
      </x:c>
      <x:c r="F50" s="29" t="str">
        <x:v>JOURNAL OF ORGANOMETALLIC CHEMISTRY</x:v>
      </x:c>
      <x:c r="G50" s="29" t="str"/>
      <x:c r="H50" s="29" t="str"/>
      <x:c r="I50" s="29" t="str"/>
      <x:c r="J50" s="29" t="n">
        <x:v>1968</x:v>
      </x:c>
      <x:c r="K50" s="29" t="n">
        <x:v>12</x:v>
      </x:c>
      <x:c r="L50" s="29" t="n">
        <x:v>2</x:v>
      </x:c>
      <x:c r="M50" s="29" t="n">
        <x:v>327</x:v>
      </x:c>
      <x:c r="N50" s="29" t="str">
        <x:v>+</x:v>
      </x:c>
      <x:c r="O50" s="29" t="str"/>
      <x:c r="P50" s="29" t="str">
        <x:v>10.1016/S0022-328X(00)93854-3</x:v>
      </x:c>
      <x:c r="Q50" s="30" t="e">
        <x:f>IF(LEN(P50)&gt;0,HYPERLINK("https://doi.org/"&amp;P50,"Open DOI"),"")</x:f>
        <x:v>HYPERLINK is not implemented. linkLocation=https://doi.org/10.1016/S0022-328X(00)93854-3, friendlyName=Open DOI</x:v>
      </x:c>
      <x:c r="R50" s="29" t="str"/>
      <x:c r="S50" s="29" t="str">
        <x:v>WOS:A1968B011800016</x:v>
      </x:c>
      <x:c r="T50" s="29" t="str"/>
      <x:c r="U50" s="29" t="str"/>
      <x:c r="V50" s="29" t="str"/>
      <x:c r="W50" s="29" t="str"/>
    </x:row>
    <x:row r="51" ht="42" customHeight="1">
      <x:c r="A51" s="29" t="n">
        <x:v>50</x:v>
      </x:c>
      <x:c r="B51" s="29" t="n">
        <x:v>51</x:v>
      </x:c>
      <x:c r="C51" s="29" t="str">
        <x:v>J</x:v>
      </x:c>
      <x:c r="D51" s="29" t="str">
        <x:v>Dixon, CE; Netherton, MR; Baines, KM</x:v>
      </x:c>
      <x:c r="E51" s="29" t="str">
        <x:v>Addition of methyl Grignard reagents to germasilenes and digermenes: Unusual ligand exchange reaction of the resulting germyl Grignard reagents</x:v>
      </x:c>
      <x:c r="F51" s="29" t="str">
        <x:v>JOURNAL OF THE AMERICAN CHEMICAL SOCIETY</x:v>
      </x:c>
      <x:c r="G51" s="29" t="str"/>
      <x:c r="H51" s="29" t="str"/>
      <x:c r="I51" s="29" t="str">
        <x:v>OCT 14</x:v>
      </x:c>
      <x:c r="J51" s="29" t="n">
        <x:v>1998</x:v>
      </x:c>
      <x:c r="K51" s="29" t="n">
        <x:v>120</x:v>
      </x:c>
      <x:c r="L51" s="29" t="n">
        <x:v>40</x:v>
      </x:c>
      <x:c r="M51" s="29" t="n">
        <x:v>10365</x:v>
      </x:c>
      <x:c r="N51" s="29" t="n">
        <x:v>10371</x:v>
      </x:c>
      <x:c r="O51" s="29" t="str"/>
      <x:c r="P51" s="29" t="str">
        <x:v>10.1021/ja981787k</x:v>
      </x:c>
      <x:c r="Q51" s="30" t="e">
        <x:f>IF(LEN(P51)&gt;0,HYPERLINK("https://doi.org/"&amp;P51,"Open DOI"),"")</x:f>
        <x:v>HYPERLINK is not implemented. linkLocation=https://doi.org/10.1021/ja981787k, friendlyName=Open DOI</x:v>
      </x:c>
      <x:c r="R51" s="29" t="str"/>
      <x:c r="S51" s="29" t="str">
        <x:v>WOS:000076481900012</x:v>
      </x:c>
      <x:c r="T51" s="29" t="str"/>
      <x:c r="U51" s="29" t="str"/>
      <x:c r="V51" s="29" t="str"/>
      <x:c r="W51" s="29" t="str"/>
    </x:row>
  </x:sheetData>
  <x:conditionalFormatting sqref="V2:V51">
    <x:cfRule type="expression" dxfId="0" priority="1">
      <x:formula>V2="Yes"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8e2a531d034523"/>
  </x:tableParts>
</x:worksheet>
</file>